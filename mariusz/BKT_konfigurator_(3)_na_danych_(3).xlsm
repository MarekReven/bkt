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lukaszwrz\Desktop\"/>
    </mc:Choice>
  </mc:AlternateContent>
  <bookViews>
    <workbookView xWindow="0" yWindow="0" windowWidth="28800" windowHeight="14010"/>
  </bookViews>
  <sheets>
    <sheet name="Arkusz1" sheetId="1" r:id="rId1"/>
    <sheet name="Arkusz2" sheetId="2" r:id="rId2"/>
    <sheet name="Arkusz3" sheetId="3" r:id="rId3"/>
  </sheets>
  <definedNames>
    <definedName name="_xlnm._FilterDatabase" localSheetId="0" hidden="1">Arkusz1!$AC$1:$AE$426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6" i="1" l="1"/>
  <c r="Z426" i="1" l="1"/>
  <c r="Z425" i="1"/>
  <c r="Y425" i="1"/>
  <c r="Z424" i="1"/>
  <c r="Y424" i="1"/>
  <c r="Z423" i="1"/>
  <c r="X423" i="1"/>
  <c r="Z422" i="1"/>
  <c r="X422" i="1"/>
  <c r="Z421" i="1"/>
  <c r="X421" i="1"/>
  <c r="Z420" i="1"/>
  <c r="X420" i="1"/>
  <c r="Z419" i="1"/>
  <c r="X419" i="1"/>
  <c r="Z418" i="1"/>
  <c r="X418" i="1"/>
  <c r="Z417" i="1"/>
  <c r="W417" i="1"/>
  <c r="Z415" i="1"/>
  <c r="Z414" i="1"/>
  <c r="Y414" i="1"/>
  <c r="Z413" i="1"/>
  <c r="Y413" i="1"/>
  <c r="Z412" i="1"/>
  <c r="X412" i="1"/>
  <c r="Z411" i="1"/>
  <c r="X411" i="1"/>
  <c r="Z410" i="1"/>
  <c r="X410" i="1"/>
  <c r="Z409" i="1"/>
  <c r="X409" i="1"/>
  <c r="Z408" i="1"/>
  <c r="X408" i="1"/>
  <c r="Z407" i="1"/>
  <c r="X407" i="1"/>
  <c r="Z406" i="1"/>
  <c r="W406" i="1"/>
  <c r="Z404" i="1"/>
  <c r="Z403" i="1"/>
  <c r="Y403" i="1"/>
  <c r="Z402" i="1"/>
  <c r="Y402" i="1"/>
  <c r="Z401" i="1"/>
  <c r="X401" i="1"/>
  <c r="Z400" i="1"/>
  <c r="X400" i="1"/>
  <c r="Z399" i="1"/>
  <c r="X399" i="1"/>
  <c r="Z398" i="1"/>
  <c r="X398" i="1"/>
  <c r="Z397" i="1"/>
  <c r="X397" i="1"/>
  <c r="Z396" i="1"/>
  <c r="X396" i="1"/>
  <c r="Z395" i="1"/>
  <c r="W395" i="1"/>
  <c r="Z393" i="1"/>
  <c r="Z392" i="1"/>
  <c r="Y392" i="1"/>
  <c r="Z391" i="1"/>
  <c r="Y391" i="1"/>
  <c r="Z390" i="1"/>
  <c r="X390" i="1"/>
  <c r="Z389" i="1"/>
  <c r="X389" i="1"/>
  <c r="Z388" i="1"/>
  <c r="X388" i="1"/>
  <c r="Z387" i="1"/>
  <c r="X387" i="1"/>
  <c r="Z386" i="1"/>
  <c r="X386" i="1"/>
  <c r="Z385" i="1"/>
  <c r="X385" i="1"/>
  <c r="Z384" i="1"/>
  <c r="W384" i="1"/>
  <c r="Z382" i="1"/>
  <c r="Z381" i="1"/>
  <c r="Y381" i="1"/>
  <c r="Z380" i="1"/>
  <c r="Y380" i="1"/>
  <c r="Z379" i="1"/>
  <c r="X379" i="1"/>
  <c r="Z378" i="1"/>
  <c r="X378" i="1"/>
  <c r="Z377" i="1"/>
  <c r="X377" i="1"/>
  <c r="Z376" i="1"/>
  <c r="X376" i="1"/>
  <c r="Z375" i="1"/>
  <c r="X375" i="1"/>
  <c r="Z374" i="1"/>
  <c r="X374" i="1"/>
  <c r="Z373" i="1"/>
  <c r="W373" i="1"/>
  <c r="Z371" i="1"/>
  <c r="Z370" i="1"/>
  <c r="Y370" i="1"/>
  <c r="Z369" i="1"/>
  <c r="Y369" i="1"/>
  <c r="Z368" i="1"/>
  <c r="X368" i="1"/>
  <c r="Z367" i="1"/>
  <c r="X367" i="1"/>
  <c r="Z366" i="1"/>
  <c r="X366" i="1"/>
  <c r="Z365" i="1"/>
  <c r="X365" i="1"/>
  <c r="Z364" i="1"/>
  <c r="X364" i="1"/>
  <c r="Z363" i="1"/>
  <c r="X363" i="1"/>
  <c r="Z362" i="1"/>
  <c r="W362" i="1"/>
  <c r="Z359" i="1"/>
  <c r="Z358" i="1"/>
  <c r="Y358" i="1"/>
  <c r="Z357" i="1"/>
  <c r="Y357" i="1"/>
  <c r="Z356" i="1"/>
  <c r="X356" i="1"/>
  <c r="Z355" i="1"/>
  <c r="X355" i="1"/>
  <c r="Z354" i="1"/>
  <c r="X354" i="1"/>
  <c r="Z353" i="1"/>
  <c r="X353" i="1"/>
  <c r="Z352" i="1"/>
  <c r="X352" i="1"/>
  <c r="Z351" i="1"/>
  <c r="X351" i="1"/>
  <c r="Z350" i="1"/>
  <c r="W350" i="1"/>
  <c r="Z348" i="1"/>
  <c r="Z347" i="1"/>
  <c r="Y347" i="1"/>
  <c r="Z346" i="1"/>
  <c r="Y346" i="1"/>
  <c r="Z345" i="1"/>
  <c r="X345" i="1"/>
  <c r="Z344" i="1"/>
  <c r="X344" i="1"/>
  <c r="Z343" i="1"/>
  <c r="X343" i="1"/>
  <c r="Z342" i="1"/>
  <c r="X342" i="1"/>
  <c r="Z341" i="1"/>
  <c r="X341" i="1"/>
  <c r="Z340" i="1"/>
  <c r="X340" i="1"/>
  <c r="Z339" i="1"/>
  <c r="W339" i="1"/>
  <c r="Z337" i="1"/>
  <c r="Z336" i="1"/>
  <c r="Y336" i="1"/>
  <c r="Z335" i="1"/>
  <c r="Y335" i="1"/>
  <c r="Z334" i="1"/>
  <c r="X334" i="1"/>
  <c r="Z333" i="1"/>
  <c r="X333" i="1"/>
  <c r="Z332" i="1"/>
  <c r="X332" i="1"/>
  <c r="Z331" i="1"/>
  <c r="X331" i="1"/>
  <c r="Z330" i="1"/>
  <c r="X330" i="1"/>
  <c r="Z329" i="1"/>
  <c r="X329" i="1"/>
  <c r="Z328" i="1"/>
  <c r="W328" i="1"/>
  <c r="Z326" i="1"/>
  <c r="Z325" i="1"/>
  <c r="Y325" i="1"/>
  <c r="Z324" i="1"/>
  <c r="Y324" i="1"/>
  <c r="Z323" i="1"/>
  <c r="X323" i="1"/>
  <c r="Z322" i="1"/>
  <c r="X322" i="1"/>
  <c r="Z321" i="1"/>
  <c r="X321" i="1"/>
  <c r="Z320" i="1"/>
  <c r="X320" i="1"/>
  <c r="Z319" i="1"/>
  <c r="X319" i="1"/>
  <c r="Z318" i="1"/>
  <c r="X318" i="1"/>
  <c r="Z317" i="1"/>
  <c r="W317" i="1"/>
  <c r="Z315" i="1"/>
  <c r="Z314" i="1"/>
  <c r="Y314" i="1"/>
  <c r="Z313" i="1"/>
  <c r="Y313" i="1"/>
  <c r="Z312" i="1"/>
  <c r="X312" i="1"/>
  <c r="Z311" i="1"/>
  <c r="X311" i="1"/>
  <c r="Z310" i="1"/>
  <c r="X310" i="1"/>
  <c r="Z309" i="1"/>
  <c r="X309" i="1"/>
  <c r="Z308" i="1"/>
  <c r="X308" i="1"/>
  <c r="Z307" i="1"/>
  <c r="X307" i="1"/>
  <c r="Z306" i="1"/>
  <c r="W306" i="1"/>
  <c r="Z304" i="1"/>
  <c r="Z303" i="1"/>
  <c r="Y303" i="1"/>
  <c r="Z302" i="1"/>
  <c r="Y302" i="1"/>
  <c r="Z301" i="1"/>
  <c r="X301" i="1"/>
  <c r="Z300" i="1"/>
  <c r="X300" i="1"/>
  <c r="Z299" i="1"/>
  <c r="X299" i="1"/>
  <c r="Z298" i="1"/>
  <c r="X298" i="1"/>
  <c r="Z297" i="1"/>
  <c r="X297" i="1"/>
  <c r="Z296" i="1"/>
  <c r="X296" i="1"/>
  <c r="Z295" i="1"/>
  <c r="W295" i="1"/>
  <c r="Z293" i="1"/>
  <c r="Z284" i="1"/>
  <c r="Z292" i="1"/>
  <c r="Y292" i="1"/>
  <c r="Z291" i="1"/>
  <c r="Y291" i="1"/>
  <c r="Z290" i="1"/>
  <c r="X290" i="1"/>
  <c r="Z289" i="1"/>
  <c r="X289" i="1"/>
  <c r="Z288" i="1"/>
  <c r="X288" i="1"/>
  <c r="Z287" i="1"/>
  <c r="X287" i="1"/>
  <c r="Z286" i="1"/>
  <c r="X286" i="1"/>
  <c r="Z285" i="1"/>
  <c r="X285" i="1"/>
  <c r="W284" i="1"/>
  <c r="Z281" i="1"/>
  <c r="Z280" i="1"/>
  <c r="Z279" i="1"/>
  <c r="Y279" i="1"/>
  <c r="Z278" i="1"/>
  <c r="Y278" i="1"/>
  <c r="Z277" i="1"/>
  <c r="X277" i="1"/>
  <c r="Z276" i="1"/>
  <c r="X276" i="1"/>
  <c r="Z275" i="1"/>
  <c r="X275" i="1"/>
  <c r="Z274" i="1"/>
  <c r="X274" i="1"/>
  <c r="Z273" i="1"/>
  <c r="X273" i="1"/>
  <c r="Z272" i="1"/>
  <c r="X272" i="1"/>
  <c r="Z271" i="1"/>
  <c r="W271" i="1"/>
  <c r="Z269" i="1"/>
  <c r="Z268" i="1"/>
  <c r="Z267" i="1"/>
  <c r="Y267" i="1"/>
  <c r="Z266" i="1"/>
  <c r="Y266" i="1"/>
  <c r="Z265" i="1"/>
  <c r="X265" i="1"/>
  <c r="Z264" i="1"/>
  <c r="X264" i="1"/>
  <c r="Z263" i="1"/>
  <c r="X263" i="1"/>
  <c r="Z262" i="1"/>
  <c r="X262" i="1"/>
  <c r="Z261" i="1"/>
  <c r="X261" i="1"/>
  <c r="Z260" i="1"/>
  <c r="X260" i="1"/>
  <c r="Z259" i="1"/>
  <c r="W259" i="1"/>
  <c r="Z257" i="1"/>
  <c r="Z256" i="1"/>
  <c r="Z255" i="1"/>
  <c r="Y255" i="1"/>
  <c r="Z254" i="1"/>
  <c r="Y254" i="1"/>
  <c r="Z253" i="1"/>
  <c r="X253" i="1"/>
  <c r="Z252" i="1"/>
  <c r="X252" i="1"/>
  <c r="Z251" i="1"/>
  <c r="X251" i="1"/>
  <c r="Z250" i="1"/>
  <c r="X250" i="1"/>
  <c r="Z249" i="1"/>
  <c r="X249" i="1"/>
  <c r="Z248" i="1"/>
  <c r="X248" i="1"/>
  <c r="Z247" i="1"/>
  <c r="W247" i="1"/>
  <c r="Z245" i="1"/>
  <c r="Z244" i="1"/>
  <c r="Z243" i="1"/>
  <c r="Y243" i="1"/>
  <c r="Z242" i="1"/>
  <c r="Y242" i="1"/>
  <c r="Z241" i="1"/>
  <c r="X241" i="1"/>
  <c r="Z240" i="1"/>
  <c r="X240" i="1"/>
  <c r="Z239" i="1"/>
  <c r="X239" i="1"/>
  <c r="Z238" i="1"/>
  <c r="X238" i="1"/>
  <c r="Z237" i="1"/>
  <c r="X237" i="1"/>
  <c r="Z236" i="1"/>
  <c r="X236" i="1"/>
  <c r="Z235" i="1"/>
  <c r="W235" i="1"/>
  <c r="Z232" i="1"/>
  <c r="Z233" i="1"/>
  <c r="Z223" i="1"/>
  <c r="Z231" i="1"/>
  <c r="Y231" i="1"/>
  <c r="Z230" i="1"/>
  <c r="Y230" i="1"/>
  <c r="Z229" i="1"/>
  <c r="X229" i="1"/>
  <c r="Z228" i="1"/>
  <c r="X228" i="1"/>
  <c r="Z227" i="1"/>
  <c r="X227" i="1"/>
  <c r="Z226" i="1"/>
  <c r="X226" i="1"/>
  <c r="Z225" i="1"/>
  <c r="X225" i="1"/>
  <c r="Z224" i="1"/>
  <c r="X224" i="1"/>
  <c r="W223" i="1"/>
  <c r="Y220" i="1"/>
  <c r="Z221" i="1"/>
  <c r="Z213" i="1"/>
  <c r="Z220" i="1"/>
  <c r="Z219" i="1"/>
  <c r="X219" i="1"/>
  <c r="Z218" i="1"/>
  <c r="X218" i="1"/>
  <c r="Z217" i="1"/>
  <c r="X217" i="1"/>
  <c r="Z216" i="1"/>
  <c r="X216" i="1"/>
  <c r="Z215" i="1"/>
  <c r="X215" i="1"/>
  <c r="Z214" i="1"/>
  <c r="X214" i="1"/>
  <c r="W213" i="1"/>
  <c r="Y209" i="1"/>
  <c r="Z211" i="1"/>
  <c r="Z202" i="1"/>
  <c r="Z210" i="1"/>
  <c r="Y210" i="1"/>
  <c r="Z209" i="1"/>
  <c r="Z208" i="1"/>
  <c r="X208" i="1"/>
  <c r="Z207" i="1"/>
  <c r="X207" i="1"/>
  <c r="Z206" i="1"/>
  <c r="X206" i="1"/>
  <c r="Z205" i="1"/>
  <c r="X205" i="1"/>
  <c r="Z204" i="1"/>
  <c r="X204" i="1"/>
  <c r="Z203" i="1"/>
  <c r="X203" i="1"/>
  <c r="W202" i="1"/>
  <c r="Z200" i="1"/>
  <c r="Z199" i="1"/>
  <c r="Y199" i="1"/>
  <c r="Z198" i="1"/>
  <c r="Y198" i="1"/>
  <c r="Z197" i="1"/>
  <c r="X197" i="1"/>
  <c r="Z196" i="1"/>
  <c r="X196" i="1"/>
  <c r="Z195" i="1"/>
  <c r="X195" i="1"/>
  <c r="Z194" i="1"/>
  <c r="X194" i="1"/>
  <c r="Z193" i="1"/>
  <c r="X193" i="1"/>
  <c r="Z192" i="1"/>
  <c r="X192" i="1"/>
  <c r="Z191" i="1"/>
  <c r="X191" i="1"/>
  <c r="Z190" i="1"/>
  <c r="W190" i="1"/>
  <c r="X185" i="1"/>
  <c r="Y187" i="1"/>
  <c r="Y186" i="1"/>
  <c r="X183" i="1"/>
  <c r="X184" i="1"/>
  <c r="Z184" i="1"/>
  <c r="Z185" i="1"/>
  <c r="Z186" i="1"/>
  <c r="Z187" i="1"/>
  <c r="Z188" i="1"/>
  <c r="Z178" i="1"/>
  <c r="Z183" i="1"/>
  <c r="Z182" i="1"/>
  <c r="X182" i="1"/>
  <c r="Z181" i="1"/>
  <c r="X181" i="1"/>
  <c r="Z180" i="1"/>
  <c r="X180" i="1"/>
  <c r="Z179" i="1"/>
  <c r="X179" i="1"/>
  <c r="W178" i="1"/>
  <c r="Z175" i="1"/>
  <c r="Z174" i="1"/>
  <c r="Y174" i="1"/>
  <c r="Z173" i="1"/>
  <c r="X173" i="1"/>
  <c r="Z172" i="1"/>
  <c r="X172" i="1"/>
  <c r="Z171" i="1"/>
  <c r="X171" i="1"/>
  <c r="Z170" i="1"/>
  <c r="X170" i="1"/>
  <c r="Z169" i="1"/>
  <c r="W169" i="1"/>
  <c r="Z167" i="1"/>
  <c r="Z166" i="1"/>
  <c r="Y166" i="1"/>
  <c r="Z165" i="1"/>
  <c r="X165" i="1"/>
  <c r="Z164" i="1"/>
  <c r="X164" i="1"/>
  <c r="Z163" i="1"/>
  <c r="X163" i="1"/>
  <c r="Z162" i="1"/>
  <c r="X162" i="1"/>
  <c r="Z161" i="1"/>
  <c r="W161" i="1"/>
  <c r="Z159" i="1"/>
  <c r="Z158" i="1"/>
  <c r="Y158" i="1"/>
  <c r="Z157" i="1"/>
  <c r="X157" i="1"/>
  <c r="Z156" i="1"/>
  <c r="X156" i="1"/>
  <c r="Z155" i="1"/>
  <c r="X155" i="1"/>
  <c r="Z154" i="1"/>
  <c r="X154" i="1"/>
  <c r="Z153" i="1"/>
  <c r="W153" i="1"/>
  <c r="Z151" i="1"/>
  <c r="Z150" i="1"/>
  <c r="Y150" i="1"/>
  <c r="Z149" i="1"/>
  <c r="X149" i="1"/>
  <c r="Z148" i="1"/>
  <c r="X148" i="1"/>
  <c r="Z147" i="1"/>
  <c r="X147" i="1"/>
  <c r="Z146" i="1"/>
  <c r="X146" i="1"/>
  <c r="Z145" i="1"/>
  <c r="W145" i="1"/>
  <c r="Z143" i="1"/>
  <c r="Z142" i="1"/>
  <c r="Y142" i="1"/>
  <c r="Z141" i="1"/>
  <c r="X141" i="1"/>
  <c r="Z140" i="1"/>
  <c r="X140" i="1"/>
  <c r="Z139" i="1"/>
  <c r="X139" i="1"/>
  <c r="Z138" i="1"/>
  <c r="X138" i="1"/>
  <c r="Z137" i="1"/>
  <c r="W137" i="1"/>
  <c r="Z134" i="1"/>
  <c r="Z133" i="1"/>
  <c r="Y133" i="1"/>
  <c r="Z132" i="1"/>
  <c r="X132" i="1"/>
  <c r="Z131" i="1"/>
  <c r="X131" i="1"/>
  <c r="Z130" i="1"/>
  <c r="X130" i="1"/>
  <c r="Z129" i="1"/>
  <c r="X129" i="1"/>
  <c r="Z128" i="1"/>
  <c r="W128" i="1"/>
  <c r="Z126" i="1"/>
  <c r="Z125" i="1"/>
  <c r="Y125" i="1"/>
  <c r="Z124" i="1"/>
  <c r="X124" i="1"/>
  <c r="Z123" i="1"/>
  <c r="X123" i="1"/>
  <c r="Z122" i="1"/>
  <c r="X122" i="1"/>
  <c r="Z121" i="1"/>
  <c r="X121" i="1"/>
  <c r="Z120" i="1"/>
  <c r="W120" i="1"/>
  <c r="Z118" i="1"/>
  <c r="Z117" i="1"/>
  <c r="Y117" i="1"/>
  <c r="Z116" i="1"/>
  <c r="X116" i="1"/>
  <c r="Z115" i="1"/>
  <c r="X115" i="1"/>
  <c r="Z114" i="1"/>
  <c r="X114" i="1"/>
  <c r="Z113" i="1"/>
  <c r="X113" i="1"/>
  <c r="Z112" i="1"/>
  <c r="W112" i="1"/>
  <c r="Y108" i="1"/>
  <c r="Z108" i="1"/>
  <c r="Z109" i="1"/>
  <c r="Z102" i="1"/>
  <c r="Z107" i="1"/>
  <c r="Y107" i="1"/>
  <c r="Z106" i="1"/>
  <c r="X106" i="1"/>
  <c r="Z105" i="1"/>
  <c r="X105" i="1"/>
  <c r="Z104" i="1"/>
  <c r="X104" i="1"/>
  <c r="Z103" i="1"/>
  <c r="X103" i="1"/>
  <c r="W102" i="1"/>
  <c r="Z100" i="1"/>
  <c r="Z99" i="1"/>
  <c r="Y99" i="1"/>
  <c r="Z98" i="1"/>
  <c r="X98" i="1"/>
  <c r="Z97" i="1"/>
  <c r="X97" i="1"/>
  <c r="Z96" i="1"/>
  <c r="X96" i="1"/>
  <c r="Z95" i="1"/>
  <c r="X95" i="1"/>
  <c r="Z94" i="1"/>
  <c r="W94" i="1"/>
  <c r="Z91" i="1"/>
  <c r="Z90" i="1"/>
  <c r="Y90" i="1"/>
  <c r="Z89" i="1"/>
  <c r="X89" i="1"/>
  <c r="Z88" i="1"/>
  <c r="X88" i="1"/>
  <c r="Z87" i="1"/>
  <c r="X87" i="1"/>
  <c r="Z86" i="1"/>
  <c r="X86" i="1"/>
  <c r="Z85" i="1"/>
  <c r="W85" i="1"/>
  <c r="Z83" i="1"/>
  <c r="Z82" i="1"/>
  <c r="Y82" i="1"/>
  <c r="Z81" i="1"/>
  <c r="X81" i="1"/>
  <c r="Z80" i="1"/>
  <c r="X80" i="1"/>
  <c r="Z79" i="1"/>
  <c r="X79" i="1"/>
  <c r="Z78" i="1"/>
  <c r="X78" i="1"/>
  <c r="Z77" i="1"/>
  <c r="W77" i="1"/>
  <c r="Z75" i="1"/>
  <c r="Z74" i="1"/>
  <c r="Y74" i="1"/>
  <c r="Z73" i="1"/>
  <c r="X73" i="1"/>
  <c r="Z72" i="1"/>
  <c r="X72" i="1"/>
  <c r="Z71" i="1"/>
  <c r="X71" i="1"/>
  <c r="Z70" i="1"/>
  <c r="X70" i="1"/>
  <c r="Z69" i="1"/>
  <c r="W69" i="1"/>
  <c r="Z67" i="1"/>
  <c r="Z66" i="1"/>
  <c r="Y66" i="1"/>
  <c r="Z65" i="1"/>
  <c r="X65" i="1"/>
  <c r="Z64" i="1"/>
  <c r="X64" i="1"/>
  <c r="Z63" i="1"/>
  <c r="X63" i="1"/>
  <c r="Z62" i="1"/>
  <c r="X62" i="1"/>
  <c r="Z61" i="1"/>
  <c r="W61" i="1"/>
  <c r="Z58" i="1"/>
  <c r="Z57" i="1"/>
  <c r="Y57" i="1"/>
  <c r="Z56" i="1"/>
  <c r="X56" i="1"/>
  <c r="Z55" i="1"/>
  <c r="X55" i="1"/>
  <c r="Z54" i="1"/>
  <c r="X54" i="1"/>
  <c r="Z53" i="1"/>
  <c r="X53" i="1"/>
  <c r="Z52" i="1"/>
  <c r="W52" i="1"/>
  <c r="Z50" i="1"/>
  <c r="Z49" i="1"/>
  <c r="Y49" i="1"/>
  <c r="Z48" i="1"/>
  <c r="X48" i="1"/>
  <c r="Z47" i="1"/>
  <c r="X47" i="1"/>
  <c r="Z46" i="1"/>
  <c r="X46" i="1"/>
  <c r="Z45" i="1"/>
  <c r="X45" i="1"/>
  <c r="Z44" i="1"/>
  <c r="W44" i="1"/>
  <c r="Z42" i="1"/>
  <c r="Z41" i="1"/>
  <c r="Y41" i="1"/>
  <c r="Z40" i="1"/>
  <c r="X40" i="1"/>
  <c r="Z39" i="1"/>
  <c r="X39" i="1"/>
  <c r="Z38" i="1"/>
  <c r="X38" i="1"/>
  <c r="Z37" i="1"/>
  <c r="X37" i="1"/>
  <c r="Z36" i="1"/>
  <c r="W36" i="1"/>
  <c r="Y32" i="1"/>
  <c r="X31" i="1"/>
  <c r="X30" i="1"/>
  <c r="X29" i="1"/>
  <c r="X28" i="1"/>
  <c r="W27" i="1"/>
  <c r="Y24" i="1"/>
  <c r="X23" i="1"/>
  <c r="X22" i="1"/>
  <c r="X21" i="1"/>
  <c r="X20" i="1"/>
  <c r="W19" i="1"/>
  <c r="Y16" i="1"/>
  <c r="X15" i="1"/>
  <c r="X14" i="1"/>
  <c r="X13" i="1"/>
  <c r="X12" i="1"/>
  <c r="W11" i="1"/>
  <c r="Y8" i="1"/>
  <c r="Z33" i="1"/>
  <c r="Z32" i="1"/>
  <c r="Z31" i="1"/>
  <c r="Z30" i="1"/>
  <c r="Z29" i="1"/>
  <c r="Z28" i="1"/>
  <c r="Z27" i="1"/>
  <c r="Z25" i="1"/>
  <c r="Z24" i="1"/>
  <c r="Z23" i="1"/>
  <c r="Z22" i="1"/>
  <c r="Z21" i="1"/>
  <c r="Z20" i="1"/>
  <c r="Z19" i="1"/>
  <c r="Z17" i="1"/>
  <c r="Z16" i="1"/>
  <c r="Z15" i="1"/>
  <c r="Z14" i="1"/>
  <c r="Z13" i="1"/>
  <c r="Z12" i="1"/>
  <c r="Z11" i="1"/>
  <c r="Z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3" i="1"/>
  <c r="D425" i="1" l="1"/>
  <c r="D424" i="1"/>
  <c r="C423" i="1"/>
  <c r="C422" i="1"/>
  <c r="C421" i="1"/>
  <c r="C420" i="1"/>
  <c r="C419" i="1"/>
  <c r="D414" i="1"/>
  <c r="D413" i="1"/>
  <c r="C412" i="1"/>
  <c r="C411" i="1"/>
  <c r="C410" i="1"/>
  <c r="C409" i="1"/>
  <c r="C408" i="1"/>
  <c r="D403" i="1"/>
  <c r="D402" i="1"/>
  <c r="C401" i="1"/>
  <c r="C400" i="1"/>
  <c r="C399" i="1"/>
  <c r="C398" i="1"/>
  <c r="C397" i="1"/>
  <c r="D392" i="1"/>
  <c r="D391" i="1"/>
  <c r="C390" i="1"/>
  <c r="C389" i="1"/>
  <c r="C388" i="1"/>
  <c r="C387" i="1"/>
  <c r="C386" i="1"/>
  <c r="D381" i="1"/>
  <c r="D380" i="1"/>
  <c r="C379" i="1"/>
  <c r="C378" i="1"/>
  <c r="C377" i="1"/>
  <c r="C376" i="1"/>
  <c r="C375" i="1"/>
  <c r="D369" i="1"/>
  <c r="D370" i="1"/>
  <c r="C368" i="1"/>
  <c r="C367" i="1"/>
  <c r="C366" i="1"/>
  <c r="C365" i="1"/>
  <c r="C364" i="1"/>
  <c r="D358" i="1"/>
  <c r="D357" i="1"/>
  <c r="C356" i="1"/>
  <c r="C355" i="1"/>
  <c r="C354" i="1"/>
  <c r="C353" i="1"/>
  <c r="C352" i="1"/>
  <c r="C351" i="1"/>
  <c r="D347" i="1"/>
  <c r="D346" i="1"/>
  <c r="C345" i="1"/>
  <c r="C344" i="1"/>
  <c r="C343" i="1"/>
  <c r="C342" i="1"/>
  <c r="C341" i="1"/>
  <c r="C340" i="1"/>
  <c r="D336" i="1"/>
  <c r="D335" i="1"/>
  <c r="C334" i="1"/>
  <c r="C333" i="1"/>
  <c r="C332" i="1"/>
  <c r="C331" i="1"/>
  <c r="C330" i="1"/>
  <c r="C329" i="1"/>
  <c r="D325" i="1"/>
  <c r="D324" i="1"/>
  <c r="C323" i="1"/>
  <c r="C322" i="1"/>
  <c r="C321" i="1"/>
  <c r="C320" i="1"/>
  <c r="C319" i="1"/>
  <c r="C318" i="1"/>
  <c r="D314" i="1"/>
  <c r="D313" i="1"/>
  <c r="C312" i="1"/>
  <c r="C311" i="1"/>
  <c r="C310" i="1"/>
  <c r="C309" i="1"/>
  <c r="C308" i="1"/>
  <c r="C307" i="1"/>
  <c r="D292" i="1"/>
  <c r="D291" i="1"/>
  <c r="D302" i="1"/>
  <c r="D303" i="1"/>
  <c r="C301" i="1"/>
  <c r="C300" i="1"/>
  <c r="C299" i="1"/>
  <c r="C298" i="1"/>
  <c r="C297" i="1"/>
  <c r="C296" i="1"/>
  <c r="C290" i="1"/>
  <c r="C289" i="1"/>
  <c r="C288" i="1"/>
  <c r="C287" i="1"/>
  <c r="C286" i="1"/>
  <c r="C285" i="1"/>
  <c r="D280" i="1"/>
  <c r="D279" i="1"/>
  <c r="C278" i="1"/>
  <c r="C277" i="1"/>
  <c r="C276" i="1"/>
  <c r="C275" i="1"/>
  <c r="C274" i="1"/>
  <c r="C273" i="1"/>
  <c r="C272" i="1"/>
  <c r="D268" i="1"/>
  <c r="D267" i="1"/>
  <c r="C267" i="1"/>
  <c r="C266" i="1"/>
  <c r="C265" i="1"/>
  <c r="C264" i="1"/>
  <c r="C263" i="1"/>
  <c r="C262" i="1"/>
  <c r="C261" i="1"/>
  <c r="C260" i="1"/>
  <c r="D256" i="1"/>
  <c r="D255" i="1"/>
  <c r="C254" i="1"/>
  <c r="C253" i="1"/>
  <c r="C252" i="1"/>
  <c r="C251" i="1"/>
  <c r="C250" i="1"/>
  <c r="C249" i="1"/>
  <c r="C248" i="1"/>
  <c r="D244" i="1"/>
  <c r="D243" i="1"/>
  <c r="C242" i="1"/>
  <c r="C241" i="1"/>
  <c r="C240" i="1"/>
  <c r="C239" i="1"/>
  <c r="C238" i="1"/>
  <c r="C237" i="1"/>
  <c r="C236" i="1"/>
  <c r="D232" i="1"/>
  <c r="D231" i="1"/>
  <c r="C230" i="1"/>
  <c r="C229" i="1"/>
  <c r="C228" i="1"/>
  <c r="C227" i="1"/>
  <c r="C226" i="1"/>
  <c r="C225" i="1"/>
  <c r="C224" i="1"/>
  <c r="D220" i="1"/>
  <c r="C219" i="1"/>
  <c r="C218" i="1"/>
  <c r="C217" i="1"/>
  <c r="C216" i="1"/>
  <c r="C215" i="1"/>
  <c r="C214" i="1"/>
  <c r="D210" i="1"/>
  <c r="D209" i="1"/>
  <c r="C209" i="1"/>
  <c r="C208" i="1"/>
  <c r="C207" i="1"/>
  <c r="C206" i="1"/>
  <c r="C205" i="1"/>
  <c r="C204" i="1"/>
  <c r="C203" i="1"/>
  <c r="D199" i="1"/>
  <c r="D198" i="1"/>
  <c r="C197" i="1"/>
  <c r="C196" i="1"/>
  <c r="C195" i="1"/>
  <c r="C194" i="1"/>
  <c r="C193" i="1"/>
  <c r="C192" i="1"/>
  <c r="C191" i="1"/>
  <c r="D187" i="1"/>
  <c r="D186" i="1"/>
  <c r="C183" i="1"/>
  <c r="C184" i="1"/>
  <c r="C185" i="1"/>
  <c r="C182" i="1"/>
  <c r="C181" i="1"/>
  <c r="C180" i="1"/>
  <c r="C179" i="1"/>
  <c r="D174" i="1"/>
  <c r="C173" i="1"/>
  <c r="C172" i="1"/>
  <c r="C171" i="1"/>
  <c r="C170" i="1"/>
  <c r="D166" i="1"/>
  <c r="C165" i="1"/>
  <c r="C164" i="1"/>
  <c r="C163" i="1"/>
  <c r="C162" i="1"/>
  <c r="D158" i="1"/>
  <c r="C157" i="1"/>
  <c r="C156" i="1"/>
  <c r="C155" i="1"/>
  <c r="C154" i="1"/>
  <c r="D150" i="1"/>
  <c r="C149" i="1"/>
  <c r="C148" i="1"/>
  <c r="C147" i="1"/>
  <c r="C146" i="1"/>
  <c r="D142" i="1"/>
  <c r="C141" i="1"/>
  <c r="C140" i="1"/>
  <c r="C139" i="1"/>
  <c r="C138" i="1"/>
  <c r="D133" i="1"/>
  <c r="C132" i="1"/>
  <c r="C131" i="1"/>
  <c r="C130" i="1"/>
  <c r="C129" i="1"/>
  <c r="D125" i="1"/>
  <c r="C124" i="1"/>
  <c r="C123" i="1"/>
  <c r="C122" i="1"/>
  <c r="C121" i="1"/>
  <c r="D117" i="1"/>
  <c r="C116" i="1"/>
  <c r="C115" i="1"/>
  <c r="C114" i="1"/>
  <c r="C113" i="1"/>
  <c r="D108" i="1" l="1"/>
  <c r="D107" i="1"/>
  <c r="C106" i="1"/>
  <c r="C105" i="1"/>
  <c r="C104" i="1"/>
  <c r="C103" i="1"/>
  <c r="D99" i="1"/>
  <c r="C98" i="1"/>
  <c r="C97" i="1"/>
  <c r="C96" i="1"/>
  <c r="C95" i="1"/>
  <c r="D90" i="1"/>
  <c r="D82" i="1"/>
  <c r="D74" i="1"/>
  <c r="D66" i="1"/>
  <c r="C89" i="1"/>
  <c r="C88" i="1"/>
  <c r="C87" i="1"/>
  <c r="C86" i="1"/>
  <c r="C81" i="1"/>
  <c r="C80" i="1"/>
  <c r="C79" i="1"/>
  <c r="C78" i="1"/>
  <c r="C73" i="1"/>
  <c r="C72" i="1"/>
  <c r="C71" i="1"/>
  <c r="C70" i="1"/>
  <c r="C65" i="1"/>
  <c r="C64" i="1"/>
  <c r="C63" i="1"/>
  <c r="C62" i="1"/>
  <c r="D57" i="1"/>
  <c r="D49" i="1"/>
  <c r="D41" i="1"/>
  <c r="C56" i="1"/>
  <c r="C55" i="1"/>
  <c r="C54" i="1"/>
  <c r="C53" i="1"/>
  <c r="C48" i="1"/>
  <c r="C47" i="1"/>
  <c r="C46" i="1"/>
  <c r="C45" i="1"/>
  <c r="C40" i="1"/>
  <c r="C39" i="1"/>
  <c r="C38" i="1"/>
  <c r="C37" i="1"/>
  <c r="D32" i="1"/>
  <c r="D24" i="1"/>
  <c r="D16" i="1"/>
  <c r="D8" i="1"/>
  <c r="C31" i="1"/>
  <c r="C30" i="1"/>
  <c r="C29" i="1"/>
  <c r="C28" i="1"/>
  <c r="C23" i="1"/>
  <c r="C22" i="1"/>
  <c r="C21" i="1"/>
  <c r="C20" i="1"/>
  <c r="C15" i="1"/>
  <c r="C14" i="1"/>
  <c r="C13" i="1"/>
  <c r="C12" i="1"/>
  <c r="C5" i="1"/>
  <c r="X5" i="1" s="1"/>
  <c r="C6" i="1"/>
  <c r="C7" i="1"/>
  <c r="C4" i="1"/>
  <c r="Z5" i="1"/>
  <c r="Z6" i="1"/>
  <c r="Z7" i="1"/>
  <c r="Z8" i="1"/>
  <c r="Z9" i="1"/>
  <c r="Z4" i="1"/>
  <c r="W3" i="1"/>
  <c r="X6" i="1"/>
  <c r="X7" i="1"/>
  <c r="X4" i="1"/>
  <c r="Q6" i="1" l="1"/>
  <c r="AT6" i="1" s="1"/>
  <c r="R10" i="1" l="1"/>
  <c r="Q8" i="1"/>
  <c r="R8" i="1"/>
  <c r="Q10" i="1"/>
  <c r="AT15" i="1" l="1"/>
  <c r="AT19" i="1"/>
  <c r="AT29" i="1" l="1"/>
</calcChain>
</file>

<file path=xl/comments1.xml><?xml version="1.0" encoding="utf-8"?>
<comments xmlns="http://schemas.openxmlformats.org/spreadsheetml/2006/main">
  <authors>
    <author>arleta</author>
    <author>Ryszard Kasperowicz</author>
  </authors>
  <commentList>
    <comment ref="AC9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7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25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33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42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50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58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67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75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83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91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00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09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18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26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34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43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51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59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67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75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188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200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211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221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233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245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257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269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281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E288" authorId="1" shapeId="0">
      <text>
        <r>
          <rPr>
            <b/>
            <sz val="9"/>
            <color indexed="81"/>
            <rFont val="Tahoma"/>
            <family val="2"/>
            <charset val="238"/>
          </rPr>
          <t>Ryszard Kasperowicz:</t>
        </r>
        <r>
          <rPr>
            <sz val="9"/>
            <color indexed="81"/>
            <rFont val="Tahoma"/>
            <family val="2"/>
            <charset val="238"/>
          </rPr>
          <t xml:space="preserve">
Cena wynika z użytej perforacji.</t>
        </r>
      </text>
    </comment>
    <comment ref="AC293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304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315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326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337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348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359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371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382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393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404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415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  <comment ref="AC426" authorId="0" shapeId="0">
      <text>
        <r>
          <rPr>
            <b/>
            <sz val="8"/>
            <color indexed="81"/>
            <rFont val="Tahoma"/>
            <family val="2"/>
            <charset val="238"/>
          </rPr>
          <t>arleta:</t>
        </r>
        <r>
          <rPr>
            <sz val="8"/>
            <color indexed="81"/>
            <rFont val="Tahoma"/>
            <family val="2"/>
            <charset val="238"/>
          </rPr>
          <t xml:space="preserve">
w szafie standardowej są montowane 2 komplety profili 19"</t>
        </r>
      </text>
    </comment>
  </commentList>
</comments>
</file>

<file path=xl/sharedStrings.xml><?xml version="1.0" encoding="utf-8"?>
<sst xmlns="http://schemas.openxmlformats.org/spreadsheetml/2006/main" count="1551" uniqueCount="66">
  <si>
    <t>jest</t>
  </si>
  <si>
    <t>wczytane dla</t>
  </si>
  <si>
    <t>42U</t>
  </si>
  <si>
    <t>600x600</t>
  </si>
  <si>
    <t>Frame</t>
  </si>
  <si>
    <t>Perforated door single leaf</t>
  </si>
  <si>
    <t>Full metal door single leaf</t>
  </si>
  <si>
    <t>Metal-glass door single leaf</t>
  </si>
  <si>
    <t>Full glass door</t>
  </si>
  <si>
    <t>Perforated door double leaf</t>
  </si>
  <si>
    <t>Back full metal panel</t>
  </si>
  <si>
    <t>Perforated back wall metal</t>
  </si>
  <si>
    <t xml:space="preserve">metal side panel full metal 1 pc </t>
  </si>
  <si>
    <t>metal side panel perforated 1 pc</t>
  </si>
  <si>
    <t xml:space="preserve">Mounting profiles 19'' (1 set left + right) 19" </t>
  </si>
  <si>
    <t>600x800</t>
  </si>
  <si>
    <t>800x600</t>
  </si>
  <si>
    <t>600x900</t>
  </si>
  <si>
    <t>800x800</t>
  </si>
  <si>
    <t>600x1000</t>
  </si>
  <si>
    <t>metal side panel</t>
  </si>
  <si>
    <t>perforated side panel</t>
  </si>
  <si>
    <t>600x1200</t>
  </si>
  <si>
    <t>800x1000</t>
  </si>
  <si>
    <t>800x1200</t>
  </si>
  <si>
    <t>15U</t>
  </si>
  <si>
    <t>18U</t>
  </si>
  <si>
    <t>22U</t>
  </si>
  <si>
    <t>24U</t>
  </si>
  <si>
    <t>27U</t>
  </si>
  <si>
    <t>32U</t>
  </si>
  <si>
    <t>45U</t>
  </si>
  <si>
    <t>47U</t>
  </si>
  <si>
    <t>wysokość</t>
  </si>
  <si>
    <t>cena razem</t>
  </si>
  <si>
    <t>PRZWI PRZEDNIE</t>
  </si>
  <si>
    <t>do kodu</t>
  </si>
  <si>
    <t>PRZWI TYLNE</t>
  </si>
  <si>
    <t>brak</t>
  </si>
  <si>
    <t>ściany</t>
  </si>
  <si>
    <t>combo1</t>
  </si>
  <si>
    <t>combo2</t>
  </si>
  <si>
    <t>combo3</t>
  </si>
  <si>
    <t>combo5</t>
  </si>
  <si>
    <t>combo6</t>
  </si>
  <si>
    <t>combo7</t>
  </si>
  <si>
    <t>Metal-glass door single leaf (2)</t>
  </si>
  <si>
    <t>800x900</t>
  </si>
  <si>
    <t xml:space="preserve">perforated side panel </t>
  </si>
  <si>
    <t>ŚCIANY</t>
  </si>
  <si>
    <t>składniki ceny</t>
  </si>
  <si>
    <t>Kolor RAL</t>
  </si>
  <si>
    <t>kolor</t>
  </si>
  <si>
    <t>combo8</t>
  </si>
  <si>
    <t>ściana</t>
  </si>
  <si>
    <t>lewa</t>
  </si>
  <si>
    <t>prawa</t>
  </si>
  <si>
    <t>przód</t>
  </si>
  <si>
    <t>tył</t>
  </si>
  <si>
    <t>wymiar</t>
  </si>
  <si>
    <t>kod skonfigurowanej szafy:</t>
  </si>
  <si>
    <t>Do zrobienia:</t>
  </si>
  <si>
    <t>1. ujednoliścić nazwy ścian boznych</t>
  </si>
  <si>
    <t>3. wprowadzić MOQ</t>
  </si>
  <si>
    <t>4. nie jestem pewny czy dobrze tworzę kod dla szaf o wymiarze większym niż 1000</t>
  </si>
  <si>
    <t>2. wprowadzić kody SSRS dla wymiarów większych niż 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</si>
</sst>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;\-#,##0;\-"/>
  </numFmts>
  <fonts count="2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Arial"/>
      <family val="2"/>
      <charset val="238"/>
    </font>
    <font>
      <b/>
      <sz val="12"/>
      <name val="Arial"/>
      <family val="2"/>
      <charset val="238"/>
    </font>
    <font>
      <sz val="11"/>
      <name val="Arial"/>
      <family val="2"/>
      <charset val="238"/>
    </font>
    <font>
      <sz val="12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sz val="12"/>
      <color rgb="FFFF000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1"/>
      <color rgb="FFFF000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indexed="8"/>
      <name val="Calibri"/>
      <family val="2"/>
      <charset val="238"/>
    </font>
    <font>
      <b/>
      <sz val="18"/>
      <name val="Arial"/>
      <family val="2"/>
      <charset val="238"/>
    </font>
    <font>
      <b/>
      <sz val="12"/>
      <color rgb="FFFF0000"/>
      <name val="Arial"/>
      <family val="2"/>
      <charset val="238"/>
    </font>
    <font>
      <b/>
      <sz val="11"/>
      <color rgb="FFFF0000"/>
      <name val="Arial"/>
      <family val="2"/>
      <charset val="238"/>
    </font>
    <font>
      <sz val="12"/>
      <color rgb="FF00B050"/>
      <name val="Arial"/>
      <family val="2"/>
      <charset val="238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sz val="2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49FE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A53F"/>
        <bgColor indexed="64"/>
      </patternFill>
    </fill>
    <fill>
      <patternFill patternType="solid">
        <fgColor rgb="FFFFFF0B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4" fillId="0" borderId="0"/>
  </cellStyleXfs>
  <cellXfs count="75">
    <xf numFmtId="0" fontId="0" fillId="0" borderId="0" xfId="0"/>
    <xf numFmtId="0" fontId="0" fillId="2" borderId="0" xfId="0" applyFill="1"/>
    <xf numFmtId="0" fontId="0" fillId="3" borderId="0" xfId="0" applyFill="1"/>
    <xf numFmtId="49" fontId="3" fillId="4" borderId="1" xfId="0" applyNumberFormat="1" applyFont="1" applyFill="1" applyBorder="1" applyAlignment="1">
      <alignment vertical="center"/>
    </xf>
    <xf numFmtId="49" fontId="4" fillId="5" borderId="2" xfId="1" applyNumberFormat="1" applyFont="1" applyFill="1" applyBorder="1" applyAlignment="1" applyProtection="1">
      <alignment horizontal="left" vertical="center" wrapText="1"/>
    </xf>
    <xf numFmtId="9" fontId="4" fillId="5" borderId="1" xfId="1" applyFont="1" applyFill="1" applyBorder="1" applyAlignment="1" applyProtection="1">
      <alignment horizontal="center" vertical="center" wrapText="1"/>
    </xf>
    <xf numFmtId="4" fontId="5" fillId="5" borderId="3" xfId="1" applyNumberFormat="1" applyFont="1" applyFill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/>
    </xf>
    <xf numFmtId="4" fontId="5" fillId="6" borderId="3" xfId="1" applyNumberFormat="1" applyFont="1" applyFill="1" applyBorder="1" applyAlignment="1" applyProtection="1">
      <alignment horizontal="center" vertical="center" wrapText="1"/>
    </xf>
    <xf numFmtId="0" fontId="6" fillId="0" borderId="6" xfId="0" applyFont="1" applyBorder="1" applyAlignment="1">
      <alignment horizontal="center"/>
    </xf>
    <xf numFmtId="0" fontId="7" fillId="0" borderId="6" xfId="0" applyFont="1" applyFill="1" applyBorder="1" applyAlignment="1">
      <alignment wrapText="1"/>
    </xf>
    <xf numFmtId="0" fontId="9" fillId="0" borderId="6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3" fillId="0" borderId="0" xfId="0" applyFont="1" applyFill="1"/>
    <xf numFmtId="0" fontId="0" fillId="7" borderId="0" xfId="0" applyFill="1"/>
    <xf numFmtId="0" fontId="13" fillId="7" borderId="0" xfId="0" applyFont="1" applyFill="1"/>
    <xf numFmtId="0" fontId="0" fillId="0" borderId="0" xfId="0" applyFill="1"/>
    <xf numFmtId="0" fontId="0" fillId="0" borderId="0" xfId="0" quotePrefix="1" applyFill="1"/>
    <xf numFmtId="0" fontId="0" fillId="8" borderId="0" xfId="0" applyFill="1"/>
    <xf numFmtId="0" fontId="0" fillId="9" borderId="0" xfId="0" applyFill="1"/>
    <xf numFmtId="4" fontId="0" fillId="0" borderId="0" xfId="0" applyNumberFormat="1"/>
    <xf numFmtId="49" fontId="6" fillId="0" borderId="7" xfId="0" applyNumberFormat="1" applyFont="1" applyBorder="1" applyAlignment="1"/>
    <xf numFmtId="49" fontId="12" fillId="0" borderId="0" xfId="0" applyNumberFormat="1" applyFont="1" applyFill="1"/>
    <xf numFmtId="0" fontId="13" fillId="2" borderId="0" xfId="0" applyFont="1" applyFill="1"/>
    <xf numFmtId="49" fontId="3" fillId="10" borderId="1" xfId="0" applyNumberFormat="1" applyFont="1" applyFill="1" applyBorder="1" applyAlignment="1">
      <alignment vertical="center"/>
    </xf>
    <xf numFmtId="0" fontId="3" fillId="10" borderId="1" xfId="0" applyFont="1" applyFill="1" applyBorder="1" applyAlignment="1">
      <alignment horizontal="center" vertical="center"/>
    </xf>
    <xf numFmtId="3" fontId="15" fillId="10" borderId="1" xfId="2" applyNumberFormat="1" applyFont="1" applyFill="1" applyBorder="1" applyAlignment="1" applyProtection="1">
      <alignment horizontal="center" vertical="center" wrapText="1"/>
    </xf>
    <xf numFmtId="49" fontId="6" fillId="0" borderId="10" xfId="0" applyNumberFormat="1" applyFont="1" applyBorder="1" applyAlignment="1"/>
    <xf numFmtId="49" fontId="16" fillId="0" borderId="7" xfId="0" applyNumberFormat="1" applyFont="1" applyBorder="1" applyAlignment="1"/>
    <xf numFmtId="4" fontId="17" fillId="6" borderId="3" xfId="1" applyNumberFormat="1" applyFont="1" applyFill="1" applyBorder="1" applyAlignment="1" applyProtection="1">
      <alignment horizontal="center" vertical="center" wrapText="1"/>
    </xf>
    <xf numFmtId="49" fontId="18" fillId="0" borderId="7" xfId="0" applyNumberFormat="1" applyFont="1" applyBorder="1" applyAlignment="1"/>
    <xf numFmtId="0" fontId="18" fillId="0" borderId="6" xfId="0" applyFont="1" applyBorder="1" applyAlignment="1">
      <alignment horizontal="center"/>
    </xf>
    <xf numFmtId="49" fontId="4" fillId="5" borderId="11" xfId="1" applyNumberFormat="1" applyFont="1" applyFill="1" applyBorder="1" applyAlignment="1" applyProtection="1">
      <alignment horizontal="left" vertical="center" wrapText="1"/>
    </xf>
    <xf numFmtId="49" fontId="6" fillId="0" borderId="4" xfId="0" applyNumberFormat="1" applyFont="1" applyBorder="1" applyAlignment="1"/>
    <xf numFmtId="49" fontId="6" fillId="0" borderId="5" xfId="0" applyNumberFormat="1" applyFont="1" applyBorder="1" applyAlignment="1"/>
    <xf numFmtId="49" fontId="4" fillId="5" borderId="2" xfId="2" applyNumberFormat="1" applyFont="1" applyFill="1" applyBorder="1" applyAlignment="1" applyProtection="1">
      <alignment horizontal="left" vertical="center" wrapText="1"/>
    </xf>
    <xf numFmtId="0" fontId="4" fillId="5" borderId="1" xfId="2" applyFont="1" applyFill="1" applyBorder="1" applyAlignment="1" applyProtection="1">
      <alignment horizontal="center" vertical="center" wrapText="1"/>
    </xf>
    <xf numFmtId="49" fontId="8" fillId="0" borderId="5" xfId="0" applyNumberFormat="1" applyFont="1" applyBorder="1" applyAlignment="1"/>
    <xf numFmtId="49" fontId="6" fillId="0" borderId="8" xfId="0" applyNumberFormat="1" applyFont="1" applyBorder="1" applyAlignment="1"/>
    <xf numFmtId="49" fontId="15" fillId="11" borderId="12" xfId="0" applyNumberFormat="1" applyFont="1" applyFill="1" applyBorder="1" applyAlignment="1"/>
    <xf numFmtId="0" fontId="6" fillId="11" borderId="13" xfId="0" applyFont="1" applyFill="1" applyBorder="1" applyAlignment="1">
      <alignment horizontal="center"/>
    </xf>
    <xf numFmtId="4" fontId="5" fillId="11" borderId="3" xfId="1" applyNumberFormat="1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>
      <alignment wrapText="1"/>
    </xf>
    <xf numFmtId="49" fontId="6" fillId="0" borderId="15" xfId="0" applyNumberFormat="1" applyFont="1" applyBorder="1" applyAlignment="1"/>
    <xf numFmtId="49" fontId="15" fillId="12" borderId="12" xfId="0" applyNumberFormat="1" applyFont="1" applyFill="1" applyBorder="1" applyAlignment="1"/>
    <xf numFmtId="0" fontId="6" fillId="12" borderId="13" xfId="0" applyFont="1" applyFill="1" applyBorder="1" applyAlignment="1">
      <alignment horizontal="center"/>
    </xf>
    <xf numFmtId="4" fontId="5" fillId="12" borderId="3" xfId="1" applyNumberFormat="1" applyFont="1" applyFill="1" applyBorder="1" applyAlignment="1" applyProtection="1">
      <alignment horizontal="center" vertical="center" wrapText="1"/>
    </xf>
    <xf numFmtId="49" fontId="6" fillId="0" borderId="16" xfId="0" applyNumberFormat="1" applyFont="1" applyBorder="1" applyAlignment="1"/>
    <xf numFmtId="49" fontId="6" fillId="0" borderId="14" xfId="0" applyNumberFormat="1" applyFont="1" applyBorder="1" applyAlignment="1"/>
    <xf numFmtId="49" fontId="6" fillId="0" borderId="17" xfId="0" applyNumberFormat="1" applyFont="1" applyBorder="1" applyAlignment="1"/>
    <xf numFmtId="49" fontId="4" fillId="5" borderId="18" xfId="1" applyNumberFormat="1" applyFont="1" applyFill="1" applyBorder="1" applyAlignment="1" applyProtection="1">
      <alignment horizontal="left" vertical="center" wrapText="1"/>
    </xf>
    <xf numFmtId="4" fontId="5" fillId="6" borderId="1" xfId="1" applyNumberFormat="1" applyFont="1" applyFill="1" applyBorder="1" applyAlignment="1" applyProtection="1">
      <alignment horizontal="center" vertical="center" wrapText="1"/>
    </xf>
    <xf numFmtId="49" fontId="0" fillId="0" borderId="0" xfId="0" applyNumberFormat="1" applyFill="1"/>
    <xf numFmtId="164" fontId="0" fillId="0" borderId="0" xfId="0" applyNumberFormat="1"/>
    <xf numFmtId="4" fontId="0" fillId="13" borderId="0" xfId="0" applyNumberFormat="1" applyFill="1"/>
    <xf numFmtId="4" fontId="0" fillId="0" borderId="0" xfId="0" applyNumberFormat="1" applyFill="1"/>
    <xf numFmtId="0" fontId="0" fillId="13" borderId="0" xfId="0" applyFill="1"/>
    <xf numFmtId="0" fontId="2" fillId="0" borderId="19" xfId="0" applyNumberFormat="1" applyFont="1" applyBorder="1"/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2" fillId="0" borderId="0" xfId="0" applyFont="1" applyBorder="1"/>
    <xf numFmtId="0" fontId="22" fillId="0" borderId="0" xfId="0" applyFon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4" fontId="22" fillId="0" borderId="0" xfId="0" applyNumberFormat="1" applyFont="1" applyBorder="1"/>
    <xf numFmtId="4" fontId="22" fillId="0" borderId="19" xfId="0" applyNumberFormat="1" applyFont="1" applyBorder="1"/>
    <xf numFmtId="0" fontId="21" fillId="2" borderId="0" xfId="0" applyFont="1" applyFill="1" applyBorder="1"/>
    <xf numFmtId="0" fontId="0" fillId="2" borderId="0" xfId="0" applyFill="1" applyBorder="1"/>
  </cellXfs>
  <cellStyles count="3">
    <cellStyle name="A4 Small 210 x 297 mm" xfId="2"/>
    <cellStyle name="Normalny" xfId="0" builtinId="0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571500</xdr:colOff>
          <xdr:row>6</xdr:row>
          <xdr:rowOff>9525</xdr:rowOff>
        </xdr:from>
        <xdr:to>
          <xdr:col>38</xdr:col>
          <xdr:colOff>390525</xdr:colOff>
          <xdr:row>7</xdr:row>
          <xdr:rowOff>133350</xdr:rowOff>
        </xdr:to>
        <xdr:sp macro="" textlink="">
          <xdr:nvSpPr>
            <xdr:cNvPr id="1093" name="ComboBox1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581025</xdr:colOff>
          <xdr:row>9</xdr:row>
          <xdr:rowOff>0</xdr:rowOff>
        </xdr:from>
        <xdr:to>
          <xdr:col>38</xdr:col>
          <xdr:colOff>400050</xdr:colOff>
          <xdr:row>10</xdr:row>
          <xdr:rowOff>123825</xdr:rowOff>
        </xdr:to>
        <xdr:sp macro="" textlink="">
          <xdr:nvSpPr>
            <xdr:cNvPr id="1094" name="ComboBox12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13</xdr:row>
          <xdr:rowOff>57150</xdr:rowOff>
        </xdr:from>
        <xdr:to>
          <xdr:col>38</xdr:col>
          <xdr:colOff>428625</xdr:colOff>
          <xdr:row>14</xdr:row>
          <xdr:rowOff>171450</xdr:rowOff>
        </xdr:to>
        <xdr:sp macro="" textlink="">
          <xdr:nvSpPr>
            <xdr:cNvPr id="1095" name="ComboBox13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13</xdr:row>
          <xdr:rowOff>19050</xdr:rowOff>
        </xdr:from>
        <xdr:to>
          <xdr:col>44</xdr:col>
          <xdr:colOff>142875</xdr:colOff>
          <xdr:row>14</xdr:row>
          <xdr:rowOff>142875</xdr:rowOff>
        </xdr:to>
        <xdr:sp macro="" textlink="">
          <xdr:nvSpPr>
            <xdr:cNvPr id="1096" name="ComboBox15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17</xdr:row>
          <xdr:rowOff>47625</xdr:rowOff>
        </xdr:from>
        <xdr:to>
          <xdr:col>38</xdr:col>
          <xdr:colOff>428625</xdr:colOff>
          <xdr:row>18</xdr:row>
          <xdr:rowOff>161925</xdr:rowOff>
        </xdr:to>
        <xdr:sp macro="" textlink="">
          <xdr:nvSpPr>
            <xdr:cNvPr id="1097" name="ComboBox16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600075</xdr:colOff>
          <xdr:row>17</xdr:row>
          <xdr:rowOff>0</xdr:rowOff>
        </xdr:from>
        <xdr:to>
          <xdr:col>44</xdr:col>
          <xdr:colOff>123825</xdr:colOff>
          <xdr:row>18</xdr:row>
          <xdr:rowOff>114300</xdr:rowOff>
        </xdr:to>
        <xdr:sp macro="" textlink="">
          <xdr:nvSpPr>
            <xdr:cNvPr id="1098" name="ComboBox17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581025</xdr:colOff>
          <xdr:row>16</xdr:row>
          <xdr:rowOff>133350</xdr:rowOff>
        </xdr:from>
        <xdr:to>
          <xdr:col>54</xdr:col>
          <xdr:colOff>400050</xdr:colOff>
          <xdr:row>18</xdr:row>
          <xdr:rowOff>152400</xdr:rowOff>
        </xdr:to>
        <xdr:sp macro="" textlink="">
          <xdr:nvSpPr>
            <xdr:cNvPr id="1099" name="ComboBox14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20</xdr:row>
          <xdr:rowOff>38100</xdr:rowOff>
        </xdr:from>
        <xdr:to>
          <xdr:col>38</xdr:col>
          <xdr:colOff>428625</xdr:colOff>
          <xdr:row>21</xdr:row>
          <xdr:rowOff>152400</xdr:rowOff>
        </xdr:to>
        <xdr:sp macro="" textlink="">
          <xdr:nvSpPr>
            <xdr:cNvPr id="1100" name="ComboBox18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571500</xdr:colOff>
          <xdr:row>1</xdr:row>
          <xdr:rowOff>200025</xdr:rowOff>
        </xdr:from>
        <xdr:to>
          <xdr:col>37</xdr:col>
          <xdr:colOff>85725</xdr:colOff>
          <xdr:row>3</xdr:row>
          <xdr:rowOff>123825</xdr:rowOff>
        </xdr:to>
        <xdr:sp macro="" textlink="">
          <xdr:nvSpPr>
            <xdr:cNvPr id="1102" name="CommandButton1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AU426"/>
  <sheetViews>
    <sheetView showGridLines="0" tabSelected="1" topLeftCell="AC1" zoomScale="80" zoomScaleNormal="80" workbookViewId="0">
      <selection activeCell="AP24" sqref="AP24"/>
    </sheetView>
  </sheetViews>
  <sheetFormatPr defaultRowHeight="15" outlineLevelCol="1" x14ac:dyDescent="0.25"/>
  <cols>
    <col min="1" max="2" width="0" hidden="1" customWidth="1" outlineLevel="1"/>
    <col min="3" max="3" width="32.5703125" hidden="1" customWidth="1" outlineLevel="1"/>
    <col min="4" max="4" width="32.85546875" style="18" hidden="1" customWidth="1" outlineLevel="1"/>
    <col min="5" max="9" width="9.140625" hidden="1" customWidth="1" outlineLevel="1"/>
    <col min="10" max="10" width="30.5703125" hidden="1" customWidth="1" outlineLevel="1"/>
    <col min="11" max="11" width="29.5703125" hidden="1" customWidth="1" outlineLevel="1"/>
    <col min="12" max="13" width="9.140625" hidden="1" customWidth="1" outlineLevel="1"/>
    <col min="14" max="14" width="13.28515625" hidden="1" customWidth="1" outlineLevel="1"/>
    <col min="15" max="18" width="9.140625" hidden="1" customWidth="1" outlineLevel="1"/>
    <col min="19" max="19" width="17.140625" hidden="1" customWidth="1" outlineLevel="1"/>
    <col min="20" max="22" width="9.140625" hidden="1" customWidth="1" outlineLevel="1"/>
    <col min="23" max="23" width="14.7109375" hidden="1" customWidth="1" outlineLevel="1"/>
    <col min="24" max="24" width="44.140625" hidden="1" customWidth="1" outlineLevel="1"/>
    <col min="25" max="26" width="9.140625" hidden="1" customWidth="1" outlineLevel="1"/>
    <col min="27" max="27" width="9.140625" style="55" hidden="1" customWidth="1" outlineLevel="1"/>
    <col min="28" max="28" width="9.140625" hidden="1" customWidth="1" outlineLevel="1"/>
    <col min="29" max="29" width="49" style="13" customWidth="1" collapsed="1"/>
    <col min="30" max="30" width="9.140625" hidden="1" customWidth="1" outlineLevel="1"/>
    <col min="31" max="31" width="9.140625" customWidth="1" collapsed="1"/>
    <col min="32" max="32" width="9.140625" customWidth="1"/>
    <col min="44" max="45" width="13.5703125" customWidth="1"/>
    <col min="46" max="46" width="16.7109375" customWidth="1"/>
  </cols>
  <sheetData>
    <row r="1" spans="1:47" ht="24" thickBot="1" x14ac:dyDescent="0.3">
      <c r="A1" t="s">
        <v>25</v>
      </c>
      <c r="B1" t="s">
        <v>3</v>
      </c>
      <c r="C1" s="18" t="s">
        <v>38</v>
      </c>
      <c r="J1" t="s">
        <v>0</v>
      </c>
      <c r="K1" t="s">
        <v>1</v>
      </c>
      <c r="M1" s="1" t="s">
        <v>33</v>
      </c>
      <c r="N1" s="16" t="s">
        <v>39</v>
      </c>
      <c r="O1" s="58" t="s">
        <v>52</v>
      </c>
      <c r="AC1" s="26" t="s">
        <v>25</v>
      </c>
      <c r="AD1" s="27"/>
      <c r="AE1" s="28"/>
    </row>
    <row r="2" spans="1:47" ht="16.5" thickTop="1" x14ac:dyDescent="0.25">
      <c r="A2" t="s">
        <v>25</v>
      </c>
      <c r="B2" t="s">
        <v>3</v>
      </c>
      <c r="C2" s="18" t="s">
        <v>38</v>
      </c>
      <c r="D2" s="15"/>
      <c r="H2" t="s">
        <v>40</v>
      </c>
      <c r="J2" s="2"/>
      <c r="M2" s="1" t="s">
        <v>25</v>
      </c>
      <c r="N2" s="16" t="s">
        <v>12</v>
      </c>
      <c r="O2" s="58">
        <v>7035</v>
      </c>
      <c r="AC2" s="4" t="s">
        <v>3</v>
      </c>
      <c r="AD2" s="5"/>
      <c r="AE2" s="5"/>
      <c r="AG2" s="60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2"/>
    </row>
    <row r="3" spans="1:47" ht="15.75" x14ac:dyDescent="0.25">
      <c r="A3" t="s">
        <v>25</v>
      </c>
      <c r="B3" t="s">
        <v>3</v>
      </c>
      <c r="C3" s="1" t="s">
        <v>38</v>
      </c>
      <c r="D3" s="15"/>
      <c r="M3" s="1" t="s">
        <v>26</v>
      </c>
      <c r="N3" s="16" t="s">
        <v>13</v>
      </c>
      <c r="O3" s="58">
        <v>7021</v>
      </c>
      <c r="W3" t="str">
        <f>A3&amp;B3</f>
        <v>15U600x600</v>
      </c>
      <c r="Z3" s="56">
        <f>SUMPRODUCT(AA3:AA9,AE3:AE9)</f>
        <v>97.50350877192983</v>
      </c>
      <c r="AA3" s="55">
        <f>IF(AC3="Frame",1,IF(LEFT(AC3,8)="Mounting",2,0))</f>
        <v>1</v>
      </c>
      <c r="AC3" s="29" t="s">
        <v>4</v>
      </c>
      <c r="AD3" s="7"/>
      <c r="AE3" s="8">
        <v>86.5</v>
      </c>
      <c r="AG3" s="63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 t="s">
        <v>50</v>
      </c>
      <c r="AU3" s="65"/>
    </row>
    <row r="4" spans="1:47" ht="15.75" x14ac:dyDescent="0.25">
      <c r="A4" t="s">
        <v>25</v>
      </c>
      <c r="B4" t="s">
        <v>3</v>
      </c>
      <c r="C4" s="24" t="str">
        <f>AC4</f>
        <v>Perforated door single leaf</v>
      </c>
      <c r="D4" s="15"/>
      <c r="H4" t="s">
        <v>41</v>
      </c>
      <c r="J4" s="20"/>
      <c r="K4" s="2"/>
      <c r="M4" s="1" t="s">
        <v>27</v>
      </c>
      <c r="N4" s="17" t="s">
        <v>20</v>
      </c>
      <c r="O4" s="58">
        <v>9005</v>
      </c>
      <c r="X4" t="str">
        <f t="shared" ref="X4:X7" si="0">A4&amp;B4&amp;C4</f>
        <v>15U600x600Perforated door single leaf</v>
      </c>
      <c r="Z4" s="22">
        <f>AE4</f>
        <v>0</v>
      </c>
      <c r="AA4" s="55">
        <f t="shared" ref="AA4:AA67" si="1">IF(AC4="Frame",1,IF(LEFT(AC4,8)="Mounting",2,0))</f>
        <v>0</v>
      </c>
      <c r="AC4" s="30" t="s">
        <v>5</v>
      </c>
      <c r="AD4" s="9"/>
      <c r="AE4" s="31">
        <v>0</v>
      </c>
      <c r="AG4" s="63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5"/>
    </row>
    <row r="5" spans="1:47" ht="15.75" x14ac:dyDescent="0.25">
      <c r="A5" t="s">
        <v>25</v>
      </c>
      <c r="B5" t="s">
        <v>3</v>
      </c>
      <c r="C5" s="24" t="str">
        <f t="shared" ref="C5:C7" si="2">AC5</f>
        <v>Full metal door single leaf</v>
      </c>
      <c r="D5" s="15"/>
      <c r="M5" s="1" t="s">
        <v>28</v>
      </c>
      <c r="N5" s="17" t="s">
        <v>21</v>
      </c>
      <c r="X5" t="str">
        <f t="shared" si="0"/>
        <v>15U600x600Full metal door single leaf</v>
      </c>
      <c r="Z5" s="22">
        <f t="shared" ref="Z5:Z17" si="3">AE5</f>
        <v>19</v>
      </c>
      <c r="AA5" s="55">
        <f t="shared" si="1"/>
        <v>0</v>
      </c>
      <c r="AC5" s="23" t="s">
        <v>6</v>
      </c>
      <c r="AD5" s="9"/>
      <c r="AE5" s="8">
        <v>19</v>
      </c>
      <c r="AG5" s="63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5"/>
    </row>
    <row r="6" spans="1:47" ht="18.75" x14ac:dyDescent="0.3">
      <c r="A6" t="s">
        <v>25</v>
      </c>
      <c r="B6" t="s">
        <v>3</v>
      </c>
      <c r="C6" s="24" t="str">
        <f t="shared" si="2"/>
        <v>Metal-glass door single leaf (2)</v>
      </c>
      <c r="D6" s="15"/>
      <c r="H6" t="s">
        <v>42</v>
      </c>
      <c r="J6" s="21"/>
      <c r="K6" s="20"/>
      <c r="M6" s="1" t="s">
        <v>29</v>
      </c>
      <c r="N6" s="17" t="s">
        <v>38</v>
      </c>
      <c r="Q6" t="str">
        <f>J2&amp;J4</f>
        <v/>
      </c>
      <c r="X6" t="str">
        <f t="shared" si="0"/>
        <v>15U600x600Metal-glass door single leaf (2)</v>
      </c>
      <c r="Z6" s="22">
        <f t="shared" si="3"/>
        <v>26</v>
      </c>
      <c r="AA6" s="55">
        <f t="shared" si="1"/>
        <v>0</v>
      </c>
      <c r="AC6" s="23" t="s">
        <v>46</v>
      </c>
      <c r="AD6" s="9"/>
      <c r="AE6" s="8">
        <v>26</v>
      </c>
      <c r="AG6" s="63"/>
      <c r="AH6" s="66" t="s">
        <v>33</v>
      </c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71">
        <f>IFERROR(VLOOKUP(Q6,W:Z,4,0),0)</f>
        <v>0</v>
      </c>
      <c r="AU6" s="65"/>
    </row>
    <row r="7" spans="1:47" ht="18.75" x14ac:dyDescent="0.3">
      <c r="A7" t="s">
        <v>25</v>
      </c>
      <c r="B7" t="s">
        <v>3</v>
      </c>
      <c r="C7" s="24" t="str">
        <f t="shared" si="2"/>
        <v>Back full metal panel</v>
      </c>
      <c r="D7" s="15"/>
      <c r="H7" t="s">
        <v>43</v>
      </c>
      <c r="M7" s="1" t="s">
        <v>30</v>
      </c>
      <c r="X7" t="str">
        <f t="shared" si="0"/>
        <v>15U600x600Back full metal panel</v>
      </c>
      <c r="Z7" s="22">
        <f t="shared" si="3"/>
        <v>9</v>
      </c>
      <c r="AA7" s="55">
        <f t="shared" si="1"/>
        <v>0</v>
      </c>
      <c r="AC7" s="23" t="s">
        <v>10</v>
      </c>
      <c r="AD7" s="9"/>
      <c r="AE7" s="8">
        <v>9</v>
      </c>
      <c r="AG7" s="63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7"/>
      <c r="AU7" s="65"/>
    </row>
    <row r="8" spans="1:47" ht="18.75" x14ac:dyDescent="0.3">
      <c r="A8" t="s">
        <v>25</v>
      </c>
      <c r="B8" t="s">
        <v>3</v>
      </c>
      <c r="C8" s="25" t="s">
        <v>38</v>
      </c>
      <c r="D8" s="54" t="str">
        <f>AC8</f>
        <v xml:space="preserve">metal side panel full metal 1 pc </v>
      </c>
      <c r="K8" s="21"/>
      <c r="M8" s="1" t="s">
        <v>2</v>
      </c>
      <c r="Q8" t="str">
        <f>Q6&amp;J6</f>
        <v/>
      </c>
      <c r="R8" t="str">
        <f>Q6&amp;J7</f>
        <v/>
      </c>
      <c r="Y8" t="str">
        <f>A8&amp;B8&amp;D8</f>
        <v xml:space="preserve">15U600x600metal side panel full metal 1 pc </v>
      </c>
      <c r="Z8" s="22">
        <f t="shared" si="3"/>
        <v>10</v>
      </c>
      <c r="AA8" s="55">
        <f t="shared" si="1"/>
        <v>0</v>
      </c>
      <c r="AC8" s="32" t="s">
        <v>12</v>
      </c>
      <c r="AD8" s="33"/>
      <c r="AE8" s="8">
        <v>10</v>
      </c>
      <c r="AG8" s="63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7"/>
      <c r="AU8" s="65"/>
    </row>
    <row r="9" spans="1:47" ht="18.75" x14ac:dyDescent="0.3">
      <c r="A9" t="s">
        <v>25</v>
      </c>
      <c r="B9" t="s">
        <v>3</v>
      </c>
      <c r="C9" s="25" t="s">
        <v>38</v>
      </c>
      <c r="M9" s="1" t="s">
        <v>31</v>
      </c>
      <c r="Z9" s="56">
        <f t="shared" si="3"/>
        <v>5.5017543859649125</v>
      </c>
      <c r="AA9" s="55">
        <f t="shared" si="1"/>
        <v>2</v>
      </c>
      <c r="AC9" s="32" t="s">
        <v>14</v>
      </c>
      <c r="AD9" s="33"/>
      <c r="AE9" s="8">
        <v>5.5017543859649125</v>
      </c>
      <c r="AG9" s="63"/>
      <c r="AH9" s="66" t="s">
        <v>59</v>
      </c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7"/>
      <c r="AU9" s="65"/>
    </row>
    <row r="10" spans="1:47" ht="18.75" x14ac:dyDescent="0.3">
      <c r="A10" t="s">
        <v>25</v>
      </c>
      <c r="B10" t="s">
        <v>15</v>
      </c>
      <c r="C10" s="18" t="s">
        <v>38</v>
      </c>
      <c r="H10" t="s">
        <v>44</v>
      </c>
      <c r="M10" s="1" t="s">
        <v>32</v>
      </c>
      <c r="Q10" t="str">
        <f>Q6&amp;J10</f>
        <v/>
      </c>
      <c r="R10" t="str">
        <f>Q6&amp;J11</f>
        <v/>
      </c>
      <c r="Z10" s="22"/>
      <c r="AA10" s="55">
        <f t="shared" si="1"/>
        <v>0</v>
      </c>
      <c r="AC10" s="34" t="s">
        <v>15</v>
      </c>
      <c r="AD10" s="5"/>
      <c r="AE10" s="6"/>
      <c r="AG10" s="63"/>
      <c r="AH10" s="66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7"/>
      <c r="AU10" s="65"/>
    </row>
    <row r="11" spans="1:47" ht="18.75" x14ac:dyDescent="0.3">
      <c r="A11" t="s">
        <v>25</v>
      </c>
      <c r="B11" t="s">
        <v>15</v>
      </c>
      <c r="C11" s="1" t="s">
        <v>38</v>
      </c>
      <c r="D11" s="23"/>
      <c r="H11" t="s">
        <v>45</v>
      </c>
      <c r="W11" t="str">
        <f>A11&amp;B11</f>
        <v>15U600x800</v>
      </c>
      <c r="Z11" s="56">
        <f>SUMPRODUCT(AA11:AA17,AE11:AE17)</f>
        <v>106.00350877192983</v>
      </c>
      <c r="AA11" s="55">
        <f t="shared" si="1"/>
        <v>1</v>
      </c>
      <c r="AC11" s="29" t="s">
        <v>4</v>
      </c>
      <c r="AD11" s="7"/>
      <c r="AE11" s="8">
        <v>95</v>
      </c>
      <c r="AG11" s="63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7"/>
      <c r="AU11" s="65"/>
    </row>
    <row r="12" spans="1:47" ht="18.75" x14ac:dyDescent="0.3">
      <c r="A12" t="s">
        <v>25</v>
      </c>
      <c r="B12" t="s">
        <v>15</v>
      </c>
      <c r="C12" s="24" t="str">
        <f>AC12</f>
        <v>Perforated door single leaf</v>
      </c>
      <c r="D12" s="23"/>
      <c r="X12" t="str">
        <f t="shared" ref="X12:X15" si="4">A12&amp;B12&amp;C12</f>
        <v>15U600x800Perforated door single leaf</v>
      </c>
      <c r="Z12" s="22">
        <f>AE12</f>
        <v>0</v>
      </c>
      <c r="AA12" s="55">
        <f t="shared" si="1"/>
        <v>0</v>
      </c>
      <c r="AC12" s="23" t="s">
        <v>5</v>
      </c>
      <c r="AD12" s="9"/>
      <c r="AE12" s="31">
        <v>0</v>
      </c>
      <c r="AG12" s="63"/>
      <c r="AH12" s="66" t="s">
        <v>54</v>
      </c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7"/>
      <c r="AU12" s="65"/>
    </row>
    <row r="13" spans="1:47" ht="18.75" x14ac:dyDescent="0.3">
      <c r="A13" t="s">
        <v>25</v>
      </c>
      <c r="B13" t="s">
        <v>15</v>
      </c>
      <c r="C13" s="24" t="str">
        <f t="shared" ref="C13:C15" si="5">AC13</f>
        <v>Full metal door single leaf</v>
      </c>
      <c r="X13" t="str">
        <f t="shared" si="4"/>
        <v>15U600x800Full metal door single leaf</v>
      </c>
      <c r="Z13" s="22">
        <f t="shared" si="3"/>
        <v>19</v>
      </c>
      <c r="AA13" s="55">
        <f t="shared" si="1"/>
        <v>0</v>
      </c>
      <c r="AC13" s="23" t="s">
        <v>6</v>
      </c>
      <c r="AD13" s="9"/>
      <c r="AE13" s="8">
        <v>19</v>
      </c>
      <c r="AG13" s="63"/>
      <c r="AH13" s="64" t="s">
        <v>57</v>
      </c>
      <c r="AI13" s="64"/>
      <c r="AJ13" s="64"/>
      <c r="AK13" s="64"/>
      <c r="AL13" s="64"/>
      <c r="AM13" s="64"/>
      <c r="AN13" s="64" t="s">
        <v>58</v>
      </c>
      <c r="AO13" s="64"/>
      <c r="AP13" s="64"/>
      <c r="AQ13" s="64"/>
      <c r="AR13" s="64"/>
      <c r="AS13" s="64"/>
      <c r="AT13" s="67"/>
      <c r="AU13" s="65"/>
    </row>
    <row r="14" spans="1:47" ht="18.75" x14ac:dyDescent="0.3">
      <c r="A14" s="18" t="s">
        <v>25</v>
      </c>
      <c r="B14" s="18" t="s">
        <v>15</v>
      </c>
      <c r="C14" s="24" t="str">
        <f t="shared" si="5"/>
        <v>Metal-glass door single leaf</v>
      </c>
      <c r="D14" s="19"/>
      <c r="H14" t="s">
        <v>53</v>
      </c>
      <c r="X14" t="str">
        <f t="shared" si="4"/>
        <v>15U600x800Metal-glass door single leaf</v>
      </c>
      <c r="Z14" s="22">
        <f t="shared" si="3"/>
        <v>26</v>
      </c>
      <c r="AA14" s="55">
        <f t="shared" si="1"/>
        <v>0</v>
      </c>
      <c r="AC14" s="23" t="s">
        <v>7</v>
      </c>
      <c r="AD14" s="9"/>
      <c r="AE14" s="8">
        <v>26</v>
      </c>
      <c r="AG14" s="63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7"/>
      <c r="AU14" s="65"/>
    </row>
    <row r="15" spans="1:47" ht="18.75" x14ac:dyDescent="0.3">
      <c r="A15" s="18" t="s">
        <v>25</v>
      </c>
      <c r="B15" s="18" t="s">
        <v>15</v>
      </c>
      <c r="C15" s="24" t="str">
        <f t="shared" si="5"/>
        <v>Back full metal panel</v>
      </c>
      <c r="X15" t="str">
        <f t="shared" si="4"/>
        <v>15U600x800Back full metal panel</v>
      </c>
      <c r="Z15" s="22">
        <f t="shared" si="3"/>
        <v>9</v>
      </c>
      <c r="AA15" s="55">
        <f t="shared" si="1"/>
        <v>0</v>
      </c>
      <c r="AC15" s="23" t="s">
        <v>10</v>
      </c>
      <c r="AD15" s="9"/>
      <c r="AE15" s="8">
        <v>9</v>
      </c>
      <c r="AG15" s="63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71">
        <f>IFERROR(VLOOKUP(Q8,X:Z,3,0),0)+IFERROR(VLOOKUP(R8,X:Z,3,0),0)</f>
        <v>0</v>
      </c>
      <c r="AU15" s="65"/>
    </row>
    <row r="16" spans="1:47" ht="18.75" x14ac:dyDescent="0.3">
      <c r="A16" s="18" t="s">
        <v>25</v>
      </c>
      <c r="B16" s="18" t="s">
        <v>15</v>
      </c>
      <c r="C16" s="25" t="s">
        <v>38</v>
      </c>
      <c r="D16" s="54" t="str">
        <f>AC16</f>
        <v xml:space="preserve">metal side panel full metal 1 pc </v>
      </c>
      <c r="Y16" t="str">
        <f>A16&amp;B16&amp;D16</f>
        <v xml:space="preserve">15U600x800metal side panel full metal 1 pc </v>
      </c>
      <c r="Z16" s="22">
        <f t="shared" si="3"/>
        <v>12</v>
      </c>
      <c r="AA16" s="55">
        <f t="shared" si="1"/>
        <v>0</v>
      </c>
      <c r="AC16" s="23" t="s">
        <v>12</v>
      </c>
      <c r="AD16" s="9"/>
      <c r="AE16" s="8">
        <v>12</v>
      </c>
      <c r="AG16" s="63"/>
      <c r="AH16" s="66" t="s">
        <v>54</v>
      </c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7"/>
      <c r="AU16" s="65"/>
    </row>
    <row r="17" spans="1:47" ht="18.75" x14ac:dyDescent="0.3">
      <c r="A17" s="18" t="s">
        <v>25</v>
      </c>
      <c r="B17" s="18" t="s">
        <v>15</v>
      </c>
      <c r="C17" s="25" t="s">
        <v>38</v>
      </c>
      <c r="Z17" s="56">
        <f t="shared" si="3"/>
        <v>5.5017543859649125</v>
      </c>
      <c r="AA17" s="55">
        <f t="shared" si="1"/>
        <v>2</v>
      </c>
      <c r="AC17" s="23" t="s">
        <v>14</v>
      </c>
      <c r="AD17" s="9"/>
      <c r="AE17" s="8">
        <v>5.5017543859649125</v>
      </c>
      <c r="AG17" s="63"/>
      <c r="AH17" s="64" t="s">
        <v>55</v>
      </c>
      <c r="AI17" s="64"/>
      <c r="AJ17" s="64"/>
      <c r="AK17" s="64"/>
      <c r="AL17" s="64"/>
      <c r="AM17" s="64"/>
      <c r="AN17" s="64" t="s">
        <v>56</v>
      </c>
      <c r="AO17" s="64"/>
      <c r="AP17" s="64"/>
      <c r="AQ17" s="64"/>
      <c r="AR17" s="64"/>
      <c r="AS17" s="64"/>
      <c r="AT17" s="67"/>
      <c r="AU17" s="65"/>
    </row>
    <row r="18" spans="1:47" ht="18.75" x14ac:dyDescent="0.3">
      <c r="A18" s="18" t="s">
        <v>25</v>
      </c>
      <c r="B18" s="18" t="s">
        <v>18</v>
      </c>
      <c r="C18" s="18" t="s">
        <v>38</v>
      </c>
      <c r="AA18" s="55">
        <f t="shared" si="1"/>
        <v>0</v>
      </c>
      <c r="AC18" s="34" t="s">
        <v>18</v>
      </c>
      <c r="AD18" s="5"/>
      <c r="AE18" s="6"/>
      <c r="AG18" s="63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7"/>
      <c r="AU18" s="65"/>
    </row>
    <row r="19" spans="1:47" ht="18.75" x14ac:dyDescent="0.3">
      <c r="A19" s="18" t="s">
        <v>25</v>
      </c>
      <c r="B19" s="18" t="s">
        <v>18</v>
      </c>
      <c r="C19" s="1" t="s">
        <v>38</v>
      </c>
      <c r="W19" t="str">
        <f>A19&amp;B19</f>
        <v>15U800x800</v>
      </c>
      <c r="Z19" s="56">
        <f>SUMPRODUCT(AA19:AA25,AE19:AE25)</f>
        <v>106.00350877192983</v>
      </c>
      <c r="AA19" s="55">
        <f t="shared" si="1"/>
        <v>1</v>
      </c>
      <c r="AC19" s="29" t="s">
        <v>4</v>
      </c>
      <c r="AD19" s="7"/>
      <c r="AE19" s="8">
        <v>95</v>
      </c>
      <c r="AG19" s="63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71">
        <f>IFERROR(VLOOKUP(Q10,Y:Z,2,0),0)+IFERROR(VLOOKUP(R10,Y:Z,2,0),0)</f>
        <v>0</v>
      </c>
      <c r="AU19" s="65"/>
    </row>
    <row r="20" spans="1:47" ht="18.75" x14ac:dyDescent="0.3">
      <c r="A20" s="18" t="s">
        <v>25</v>
      </c>
      <c r="B20" s="18" t="s">
        <v>18</v>
      </c>
      <c r="C20" s="24" t="str">
        <f>AC20</f>
        <v>Perforated door single leaf</v>
      </c>
      <c r="X20" t="str">
        <f t="shared" ref="X20:X23" si="6">A20&amp;B20&amp;C20</f>
        <v>15U800x800Perforated door single leaf</v>
      </c>
      <c r="Z20" s="22">
        <f>AE20</f>
        <v>0</v>
      </c>
      <c r="AA20" s="55">
        <f t="shared" si="1"/>
        <v>0</v>
      </c>
      <c r="AC20" s="23" t="s">
        <v>5</v>
      </c>
      <c r="AD20" s="9"/>
      <c r="AE20" s="31">
        <v>0</v>
      </c>
      <c r="AG20" s="63"/>
      <c r="AH20" s="66" t="s">
        <v>52</v>
      </c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7"/>
      <c r="AU20" s="65"/>
    </row>
    <row r="21" spans="1:47" ht="18.75" x14ac:dyDescent="0.3">
      <c r="A21" s="18" t="s">
        <v>25</v>
      </c>
      <c r="B21" s="18" t="s">
        <v>18</v>
      </c>
      <c r="C21" s="24" t="str">
        <f t="shared" ref="C21:C23" si="7">AC21</f>
        <v>Full metal door single leaf</v>
      </c>
      <c r="X21" t="str">
        <f t="shared" si="6"/>
        <v>15U800x800Full metal door single leaf</v>
      </c>
      <c r="Z21" s="22">
        <f t="shared" ref="Z21:Z25" si="8">AE21</f>
        <v>21.5</v>
      </c>
      <c r="AA21" s="55">
        <f t="shared" si="1"/>
        <v>0</v>
      </c>
      <c r="AC21" s="23" t="s">
        <v>6</v>
      </c>
      <c r="AD21" s="9"/>
      <c r="AE21" s="8">
        <v>21.5</v>
      </c>
      <c r="AG21" s="63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7"/>
      <c r="AU21" s="65"/>
    </row>
    <row r="22" spans="1:47" ht="18.75" x14ac:dyDescent="0.3">
      <c r="A22" s="18" t="s">
        <v>25</v>
      </c>
      <c r="B22" s="18" t="s">
        <v>18</v>
      </c>
      <c r="C22" s="24" t="str">
        <f t="shared" si="7"/>
        <v>Metal-glass door single leaf</v>
      </c>
      <c r="X22" t="str">
        <f t="shared" si="6"/>
        <v>15U800x800Metal-glass door single leaf</v>
      </c>
      <c r="Z22" s="22">
        <f t="shared" si="8"/>
        <v>31</v>
      </c>
      <c r="AA22" s="55">
        <f t="shared" si="1"/>
        <v>0</v>
      </c>
      <c r="AC22" s="23" t="s">
        <v>7</v>
      </c>
      <c r="AD22" s="9"/>
      <c r="AE22" s="8">
        <v>31</v>
      </c>
      <c r="AG22" s="63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7"/>
      <c r="AU22" s="65"/>
    </row>
    <row r="23" spans="1:47" ht="18.75" x14ac:dyDescent="0.3">
      <c r="A23" s="18" t="s">
        <v>25</v>
      </c>
      <c r="B23" s="18" t="s">
        <v>18</v>
      </c>
      <c r="C23" s="24" t="str">
        <f t="shared" si="7"/>
        <v>Back full metal panel</v>
      </c>
      <c r="X23" t="str">
        <f t="shared" si="6"/>
        <v>15U800x800Back full metal panel</v>
      </c>
      <c r="Z23" s="22">
        <f t="shared" si="8"/>
        <v>10</v>
      </c>
      <c r="AA23" s="55">
        <f t="shared" si="1"/>
        <v>0</v>
      </c>
      <c r="AC23" s="23" t="s">
        <v>10</v>
      </c>
      <c r="AD23" s="9"/>
      <c r="AE23" s="8">
        <v>10</v>
      </c>
      <c r="AG23" s="63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7"/>
      <c r="AU23" s="65"/>
    </row>
    <row r="24" spans="1:47" ht="18.75" x14ac:dyDescent="0.3">
      <c r="A24" s="18" t="s">
        <v>25</v>
      </c>
      <c r="B24" s="18" t="s">
        <v>18</v>
      </c>
      <c r="C24" s="25" t="s">
        <v>38</v>
      </c>
      <c r="D24" s="54" t="str">
        <f>AC24</f>
        <v xml:space="preserve">metal side panel full metal 1 pc </v>
      </c>
      <c r="Y24" t="str">
        <f>A24&amp;B24&amp;D24</f>
        <v xml:space="preserve">15U800x800metal side panel full metal 1 pc </v>
      </c>
      <c r="Z24" s="22">
        <f t="shared" si="8"/>
        <v>12</v>
      </c>
      <c r="AA24" s="55">
        <f t="shared" si="1"/>
        <v>0</v>
      </c>
      <c r="AC24" s="23" t="s">
        <v>12</v>
      </c>
      <c r="AD24" s="9"/>
      <c r="AE24" s="8">
        <v>12</v>
      </c>
      <c r="AG24" s="63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7"/>
      <c r="AU24" s="65"/>
    </row>
    <row r="25" spans="1:47" ht="18.75" x14ac:dyDescent="0.3">
      <c r="A25" s="18" t="s">
        <v>25</v>
      </c>
      <c r="B25" s="18" t="s">
        <v>18</v>
      </c>
      <c r="C25" s="25" t="s">
        <v>38</v>
      </c>
      <c r="Z25" s="56">
        <f t="shared" si="8"/>
        <v>5.5017543859649125</v>
      </c>
      <c r="AA25" s="55">
        <f t="shared" si="1"/>
        <v>2</v>
      </c>
      <c r="AC25" s="23" t="s">
        <v>14</v>
      </c>
      <c r="AD25" s="9"/>
      <c r="AE25" s="8">
        <v>5.5017543859649125</v>
      </c>
      <c r="AG25" s="63"/>
      <c r="AH25" s="66" t="s">
        <v>60</v>
      </c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7"/>
      <c r="AU25" s="65"/>
    </row>
    <row r="26" spans="1:47" ht="28.5" x14ac:dyDescent="0.45">
      <c r="A26" s="18" t="s">
        <v>25</v>
      </c>
      <c r="B26" s="18" t="s">
        <v>47</v>
      </c>
      <c r="C26" s="18" t="s">
        <v>38</v>
      </c>
      <c r="AA26" s="55">
        <f t="shared" si="1"/>
        <v>0</v>
      </c>
      <c r="AC26" s="34" t="s">
        <v>47</v>
      </c>
      <c r="AD26" s="5"/>
      <c r="AE26" s="6"/>
      <c r="AG26" s="63"/>
      <c r="AH26" s="73" t="str">
        <f>IFERROR("SRS"&amp;MID(J2,1,2)&amp;MID(J4,1,2)&amp;MID(J4,FIND("x",J4,1)+1,2)&amp;IFERROR(VLOOKUP(J6,Arkusz2!$A$2:$B$23,2,0),0)&amp;IFERROR(VLOOKUP(J7,Arkusz2!$D$2:$E$23,2,0),0)&amp;IFERROR(VLOOKUP(J10,Arkusz2!$G$2:$H$8,2,0),0)&amp;IFERROR(VLOOKUP(J11,Arkusz2!$G$2:$H$8,2,0),0)&amp;"."&amp;IFERROR(VLOOKUP(J14,Arkusz2!$J$2:$K$9,2,0),0),"")</f>
        <v/>
      </c>
      <c r="AI26" s="74"/>
      <c r="AJ26" s="74"/>
      <c r="AK26" s="74"/>
      <c r="AL26" s="64"/>
      <c r="AM26" s="64"/>
      <c r="AN26" s="64"/>
      <c r="AO26" s="64"/>
      <c r="AP26" s="64"/>
      <c r="AQ26" s="64"/>
      <c r="AR26" s="64"/>
      <c r="AS26" s="64"/>
      <c r="AT26" s="67"/>
      <c r="AU26" s="65"/>
    </row>
    <row r="27" spans="1:47" ht="18.75" x14ac:dyDescent="0.3">
      <c r="A27" s="18" t="s">
        <v>25</v>
      </c>
      <c r="B27" s="18" t="s">
        <v>47</v>
      </c>
      <c r="C27" s="1" t="s">
        <v>38</v>
      </c>
      <c r="W27" t="str">
        <f>A27&amp;B27</f>
        <v>15U800x900</v>
      </c>
      <c r="Z27" s="56">
        <f>SUMPRODUCT(AA27:AA33,AE27:AE33)</f>
        <v>120.00350877192983</v>
      </c>
      <c r="AA27" s="55">
        <f t="shared" si="1"/>
        <v>1</v>
      </c>
      <c r="AC27" s="29" t="s">
        <v>4</v>
      </c>
      <c r="AD27" s="7"/>
      <c r="AE27" s="8">
        <v>109</v>
      </c>
      <c r="AG27" s="63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7"/>
      <c r="AU27" s="65"/>
    </row>
    <row r="28" spans="1:47" ht="19.5" thickBot="1" x14ac:dyDescent="0.35">
      <c r="A28" s="18" t="s">
        <v>25</v>
      </c>
      <c r="B28" s="18" t="s">
        <v>47</v>
      </c>
      <c r="C28" s="24" t="str">
        <f>AC28</f>
        <v>Perforated door single leaf</v>
      </c>
      <c r="X28" t="str">
        <f t="shared" ref="X28:X31" si="9">A28&amp;B28&amp;C28</f>
        <v>15U800x900Perforated door single leaf</v>
      </c>
      <c r="Z28" s="22">
        <f>AE28</f>
        <v>0</v>
      </c>
      <c r="AA28" s="55">
        <f t="shared" si="1"/>
        <v>0</v>
      </c>
      <c r="AC28" s="23" t="s">
        <v>5</v>
      </c>
      <c r="AD28" s="9"/>
      <c r="AE28" s="31">
        <v>0</v>
      </c>
      <c r="AG28" s="63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7"/>
      <c r="AU28" s="65"/>
    </row>
    <row r="29" spans="1:47" ht="19.5" thickTop="1" x14ac:dyDescent="0.3">
      <c r="A29" s="18" t="s">
        <v>25</v>
      </c>
      <c r="B29" s="18" t="s">
        <v>47</v>
      </c>
      <c r="C29" s="24" t="str">
        <f t="shared" ref="C29:C31" si="10">AC29</f>
        <v>Full metal door single leaf</v>
      </c>
      <c r="X29" t="str">
        <f t="shared" si="9"/>
        <v>15U800x900Full metal door single leaf</v>
      </c>
      <c r="Z29" s="22">
        <f t="shared" ref="Z29:Z33" si="11">AE29</f>
        <v>21.5</v>
      </c>
      <c r="AA29" s="55">
        <f t="shared" si="1"/>
        <v>0</v>
      </c>
      <c r="AC29" s="23" t="s">
        <v>6</v>
      </c>
      <c r="AD29" s="9"/>
      <c r="AE29" s="8">
        <v>21.5</v>
      </c>
      <c r="AG29" s="63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59" t="s">
        <v>34</v>
      </c>
      <c r="AT29" s="72">
        <f>AT6+AT15+AT19</f>
        <v>0</v>
      </c>
      <c r="AU29" s="65"/>
    </row>
    <row r="30" spans="1:47" ht="16.5" thickBot="1" x14ac:dyDescent="0.3">
      <c r="A30" s="18" t="s">
        <v>25</v>
      </c>
      <c r="B30" s="18" t="s">
        <v>47</v>
      </c>
      <c r="C30" s="24" t="str">
        <f t="shared" si="10"/>
        <v>Metal-glass door single leaf</v>
      </c>
      <c r="X30" t="str">
        <f t="shared" si="9"/>
        <v>15U800x900Metal-glass door single leaf</v>
      </c>
      <c r="Z30" s="22">
        <f t="shared" si="11"/>
        <v>31</v>
      </c>
      <c r="AA30" s="55">
        <f t="shared" si="1"/>
        <v>0</v>
      </c>
      <c r="AC30" s="23" t="s">
        <v>7</v>
      </c>
      <c r="AD30" s="9"/>
      <c r="AE30" s="8">
        <v>31</v>
      </c>
      <c r="AG30" s="68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70"/>
    </row>
    <row r="31" spans="1:47" ht="16.5" thickTop="1" x14ac:dyDescent="0.25">
      <c r="A31" s="18" t="s">
        <v>25</v>
      </c>
      <c r="B31" s="18" t="s">
        <v>47</v>
      </c>
      <c r="C31" s="24" t="str">
        <f t="shared" si="10"/>
        <v>Back full metal panel</v>
      </c>
      <c r="X31" t="str">
        <f t="shared" si="9"/>
        <v>15U800x900Back full metal panel</v>
      </c>
      <c r="Z31" s="22">
        <f t="shared" si="11"/>
        <v>10</v>
      </c>
      <c r="AA31" s="55">
        <f t="shared" si="1"/>
        <v>0</v>
      </c>
      <c r="AC31" s="23" t="s">
        <v>10</v>
      </c>
      <c r="AD31" s="9"/>
      <c r="AE31" s="8">
        <v>10</v>
      </c>
    </row>
    <row r="32" spans="1:47" ht="15.75" x14ac:dyDescent="0.25">
      <c r="A32" s="18" t="s">
        <v>25</v>
      </c>
      <c r="B32" s="18" t="s">
        <v>47</v>
      </c>
      <c r="C32" s="25" t="s">
        <v>38</v>
      </c>
      <c r="D32" s="54" t="str">
        <f>AC32</f>
        <v xml:space="preserve">metal side panel full metal 1 pc </v>
      </c>
      <c r="Y32" t="str">
        <f>A32&amp;B32&amp;D32</f>
        <v xml:space="preserve">15U800x900metal side panel full metal 1 pc </v>
      </c>
      <c r="Z32" s="22">
        <f t="shared" si="11"/>
        <v>13</v>
      </c>
      <c r="AA32" s="55">
        <f t="shared" si="1"/>
        <v>0</v>
      </c>
      <c r="AC32" s="23" t="s">
        <v>12</v>
      </c>
      <c r="AD32" s="9"/>
      <c r="AE32" s="8">
        <v>13</v>
      </c>
    </row>
    <row r="33" spans="1:33" ht="15.75" x14ac:dyDescent="0.25">
      <c r="A33" s="18" t="s">
        <v>25</v>
      </c>
      <c r="B33" s="18" t="s">
        <v>47</v>
      </c>
      <c r="C33" s="25" t="s">
        <v>38</v>
      </c>
      <c r="Z33" s="56">
        <f t="shared" si="11"/>
        <v>5.5017543859649125</v>
      </c>
      <c r="AA33" s="55">
        <f t="shared" si="1"/>
        <v>2</v>
      </c>
      <c r="AC33" s="23" t="s">
        <v>14</v>
      </c>
      <c r="AD33" s="9"/>
      <c r="AE33" s="8">
        <v>5.5017543859649125</v>
      </c>
    </row>
    <row r="34" spans="1:33" ht="23.25" x14ac:dyDescent="0.25">
      <c r="A34" s="18" t="s">
        <v>26</v>
      </c>
      <c r="B34" s="18" t="s">
        <v>3</v>
      </c>
      <c r="C34" s="18" t="s">
        <v>38</v>
      </c>
      <c r="AA34" s="55">
        <f t="shared" si="1"/>
        <v>0</v>
      </c>
      <c r="AC34" s="26" t="s">
        <v>26</v>
      </c>
      <c r="AD34" s="26"/>
      <c r="AE34" s="26"/>
      <c r="AG34" t="s">
        <v>61</v>
      </c>
    </row>
    <row r="35" spans="1:33" ht="15.75" x14ac:dyDescent="0.25">
      <c r="A35" s="18" t="s">
        <v>26</v>
      </c>
      <c r="B35" s="18" t="s">
        <v>3</v>
      </c>
      <c r="C35" s="18" t="s">
        <v>38</v>
      </c>
      <c r="AA35" s="55">
        <f t="shared" si="1"/>
        <v>0</v>
      </c>
      <c r="AC35" s="4" t="s">
        <v>3</v>
      </c>
      <c r="AD35" s="5"/>
      <c r="AE35" s="6"/>
      <c r="AG35" t="s">
        <v>62</v>
      </c>
    </row>
    <row r="36" spans="1:33" ht="15.75" x14ac:dyDescent="0.25">
      <c r="A36" s="18" t="s">
        <v>26</v>
      </c>
      <c r="B36" s="18" t="s">
        <v>3</v>
      </c>
      <c r="C36" s="1" t="s">
        <v>38</v>
      </c>
      <c r="W36" t="str">
        <f>A36&amp;B36</f>
        <v>18U600x600</v>
      </c>
      <c r="Z36" s="56">
        <f>SUMPRODUCT(AA36:AA42,AE36:AE42)</f>
        <v>108.5</v>
      </c>
      <c r="AA36" s="55">
        <f t="shared" si="1"/>
        <v>1</v>
      </c>
      <c r="AC36" s="35" t="s">
        <v>4</v>
      </c>
      <c r="AD36" s="7">
        <v>1</v>
      </c>
      <c r="AE36" s="8">
        <v>95.5</v>
      </c>
      <c r="AG36" t="s">
        <v>65</v>
      </c>
    </row>
    <row r="37" spans="1:33" ht="15.75" x14ac:dyDescent="0.25">
      <c r="A37" s="18" t="s">
        <v>26</v>
      </c>
      <c r="B37" s="18" t="s">
        <v>3</v>
      </c>
      <c r="C37" s="24" t="str">
        <f>AC37</f>
        <v>Perforated door single leaf</v>
      </c>
      <c r="X37" t="str">
        <f t="shared" ref="X37:X40" si="12">A37&amp;B37&amp;C37</f>
        <v>18U600x600Perforated door single leaf</v>
      </c>
      <c r="Z37" s="22">
        <f>AE37</f>
        <v>0</v>
      </c>
      <c r="AA37" s="55">
        <f t="shared" si="1"/>
        <v>0</v>
      </c>
      <c r="AC37" s="36" t="s">
        <v>5</v>
      </c>
      <c r="AD37" s="9"/>
      <c r="AE37" s="31">
        <v>0</v>
      </c>
      <c r="AG37" t="s">
        <v>63</v>
      </c>
    </row>
    <row r="38" spans="1:33" ht="15.75" x14ac:dyDescent="0.25">
      <c r="A38" s="18" t="s">
        <v>26</v>
      </c>
      <c r="B38" s="18" t="s">
        <v>3</v>
      </c>
      <c r="C38" s="24" t="str">
        <f t="shared" ref="C38:C40" si="13">AC38</f>
        <v>Full metal door single leaf</v>
      </c>
      <c r="X38" t="str">
        <f t="shared" si="12"/>
        <v>18U600x600Full metal door single leaf</v>
      </c>
      <c r="Z38" s="22">
        <f t="shared" ref="Z38:Z42" si="14">AE38</f>
        <v>20.5</v>
      </c>
      <c r="AA38" s="55">
        <f t="shared" si="1"/>
        <v>0</v>
      </c>
      <c r="AC38" s="36" t="s">
        <v>6</v>
      </c>
      <c r="AD38" s="9">
        <v>1</v>
      </c>
      <c r="AE38" s="8">
        <v>20.5</v>
      </c>
      <c r="AG38" t="s">
        <v>64</v>
      </c>
    </row>
    <row r="39" spans="1:33" ht="15.75" x14ac:dyDescent="0.25">
      <c r="A39" s="18" t="s">
        <v>26</v>
      </c>
      <c r="B39" s="18" t="s">
        <v>3</v>
      </c>
      <c r="C39" s="24" t="str">
        <f t="shared" si="13"/>
        <v>Metal-glass door single leaf</v>
      </c>
      <c r="X39" t="str">
        <f t="shared" si="12"/>
        <v>18U600x600Metal-glass door single leaf</v>
      </c>
      <c r="Z39" s="22">
        <f t="shared" si="14"/>
        <v>27.5</v>
      </c>
      <c r="AA39" s="55">
        <f t="shared" si="1"/>
        <v>0</v>
      </c>
      <c r="AC39" s="23" t="s">
        <v>7</v>
      </c>
      <c r="AD39" s="9"/>
      <c r="AE39" s="8">
        <v>27.5</v>
      </c>
    </row>
    <row r="40" spans="1:33" ht="15.75" x14ac:dyDescent="0.25">
      <c r="A40" s="18" t="s">
        <v>26</v>
      </c>
      <c r="B40" s="18" t="s">
        <v>3</v>
      </c>
      <c r="C40" s="24" t="str">
        <f t="shared" si="13"/>
        <v>Back full metal panel</v>
      </c>
      <c r="X40" t="str">
        <f t="shared" si="12"/>
        <v>18U600x600Back full metal panel</v>
      </c>
      <c r="Z40" s="22">
        <f t="shared" si="14"/>
        <v>9.5</v>
      </c>
      <c r="AA40" s="55">
        <f t="shared" si="1"/>
        <v>0</v>
      </c>
      <c r="AC40" s="23" t="s">
        <v>10</v>
      </c>
      <c r="AD40" s="9">
        <v>1</v>
      </c>
      <c r="AE40" s="8">
        <v>9.5</v>
      </c>
    </row>
    <row r="41" spans="1:33" ht="15.75" x14ac:dyDescent="0.25">
      <c r="A41" s="18" t="s">
        <v>26</v>
      </c>
      <c r="B41" s="18" t="s">
        <v>3</v>
      </c>
      <c r="C41" s="25" t="s">
        <v>38</v>
      </c>
      <c r="D41" s="54" t="str">
        <f>AC41</f>
        <v xml:space="preserve">metal side panel full metal 1 pc </v>
      </c>
      <c r="Y41" t="str">
        <f>A41&amp;B41&amp;D41</f>
        <v xml:space="preserve">18U600x600metal side panel full metal 1 pc </v>
      </c>
      <c r="Z41" s="22">
        <f t="shared" si="14"/>
        <v>11</v>
      </c>
      <c r="AA41" s="55">
        <f t="shared" si="1"/>
        <v>0</v>
      </c>
      <c r="AC41" s="23" t="s">
        <v>12</v>
      </c>
      <c r="AD41" s="9">
        <v>2</v>
      </c>
      <c r="AE41" s="8">
        <v>11</v>
      </c>
    </row>
    <row r="42" spans="1:33" ht="15.75" x14ac:dyDescent="0.25">
      <c r="A42" s="18" t="s">
        <v>26</v>
      </c>
      <c r="B42" s="18" t="s">
        <v>3</v>
      </c>
      <c r="C42" s="25" t="s">
        <v>38</v>
      </c>
      <c r="Z42" s="56">
        <f t="shared" si="14"/>
        <v>6.5</v>
      </c>
      <c r="AA42" s="55">
        <f t="shared" si="1"/>
        <v>2</v>
      </c>
      <c r="AC42" s="23" t="s">
        <v>14</v>
      </c>
      <c r="AD42" s="9">
        <v>2</v>
      </c>
      <c r="AE42" s="8">
        <v>6.5</v>
      </c>
    </row>
    <row r="43" spans="1:33" ht="15.75" x14ac:dyDescent="0.25">
      <c r="A43" s="18" t="s">
        <v>26</v>
      </c>
      <c r="B43" s="18" t="s">
        <v>15</v>
      </c>
      <c r="C43" s="18" t="s">
        <v>38</v>
      </c>
      <c r="AA43" s="55">
        <f t="shared" si="1"/>
        <v>0</v>
      </c>
      <c r="AC43" s="4" t="s">
        <v>15</v>
      </c>
      <c r="AD43" s="5"/>
      <c r="AE43" s="6"/>
    </row>
    <row r="44" spans="1:33" ht="15.75" x14ac:dyDescent="0.25">
      <c r="A44" s="18" t="s">
        <v>26</v>
      </c>
      <c r="B44" s="18" t="s">
        <v>15</v>
      </c>
      <c r="C44" s="1" t="s">
        <v>38</v>
      </c>
      <c r="W44" t="str">
        <f>A44&amp;B44</f>
        <v>18U600x800</v>
      </c>
      <c r="Z44" s="56">
        <f>SUMPRODUCT(AA44:AA50,AE44:AE50)</f>
        <v>109.5</v>
      </c>
      <c r="AA44" s="55">
        <f t="shared" si="1"/>
        <v>1</v>
      </c>
      <c r="AC44" s="35" t="s">
        <v>4</v>
      </c>
      <c r="AD44" s="7"/>
      <c r="AE44" s="8">
        <v>96.5</v>
      </c>
    </row>
    <row r="45" spans="1:33" ht="15.75" x14ac:dyDescent="0.25">
      <c r="A45" s="18" t="s">
        <v>26</v>
      </c>
      <c r="B45" s="18" t="s">
        <v>15</v>
      </c>
      <c r="C45" s="24" t="str">
        <f>AC45</f>
        <v>Perforated door single leaf</v>
      </c>
      <c r="X45" t="str">
        <f t="shared" ref="X45:X48" si="15">A45&amp;B45&amp;C45</f>
        <v>18U600x800Perforated door single leaf</v>
      </c>
      <c r="Z45" s="22">
        <f>AE45</f>
        <v>0</v>
      </c>
      <c r="AA45" s="55">
        <f t="shared" si="1"/>
        <v>0</v>
      </c>
      <c r="AC45" s="36" t="s">
        <v>5</v>
      </c>
      <c r="AD45" s="9"/>
      <c r="AE45" s="31">
        <v>0</v>
      </c>
    </row>
    <row r="46" spans="1:33" ht="15.75" x14ac:dyDescent="0.25">
      <c r="A46" s="18" t="s">
        <v>26</v>
      </c>
      <c r="B46" s="18" t="s">
        <v>15</v>
      </c>
      <c r="C46" s="24" t="str">
        <f t="shared" ref="C46:C48" si="16">AC46</f>
        <v>Full metal door single leaf</v>
      </c>
      <c r="X46" t="str">
        <f t="shared" si="15"/>
        <v>18U600x800Full metal door single leaf</v>
      </c>
      <c r="Z46" s="22">
        <f t="shared" ref="Z46:Z50" si="17">AE46</f>
        <v>20.5</v>
      </c>
      <c r="AA46" s="55">
        <f t="shared" si="1"/>
        <v>0</v>
      </c>
      <c r="AC46" s="36" t="s">
        <v>6</v>
      </c>
      <c r="AD46" s="9"/>
      <c r="AE46" s="8">
        <v>20.5</v>
      </c>
    </row>
    <row r="47" spans="1:33" ht="15.75" x14ac:dyDescent="0.25">
      <c r="A47" s="18" t="s">
        <v>26</v>
      </c>
      <c r="B47" s="18" t="s">
        <v>15</v>
      </c>
      <c r="C47" s="24" t="str">
        <f t="shared" si="16"/>
        <v>Metal-glass door single leaf</v>
      </c>
      <c r="X47" t="str">
        <f t="shared" si="15"/>
        <v>18U600x800Metal-glass door single leaf</v>
      </c>
      <c r="Z47" s="22">
        <f t="shared" si="17"/>
        <v>27.5</v>
      </c>
      <c r="AA47" s="55">
        <f t="shared" si="1"/>
        <v>0</v>
      </c>
      <c r="AC47" s="23" t="s">
        <v>7</v>
      </c>
      <c r="AD47" s="9"/>
      <c r="AE47" s="8">
        <v>27.5</v>
      </c>
    </row>
    <row r="48" spans="1:33" ht="15.75" x14ac:dyDescent="0.25">
      <c r="A48" s="18" t="s">
        <v>26</v>
      </c>
      <c r="B48" s="18" t="s">
        <v>15</v>
      </c>
      <c r="C48" s="24" t="str">
        <f t="shared" si="16"/>
        <v>Back full metal panel</v>
      </c>
      <c r="X48" t="str">
        <f t="shared" si="15"/>
        <v>18U600x800Back full metal panel</v>
      </c>
      <c r="Z48" s="22">
        <f t="shared" si="17"/>
        <v>9.5</v>
      </c>
      <c r="AA48" s="55">
        <f t="shared" si="1"/>
        <v>0</v>
      </c>
      <c r="AC48" s="23" t="s">
        <v>10</v>
      </c>
      <c r="AD48" s="9"/>
      <c r="AE48" s="8">
        <v>9.5</v>
      </c>
    </row>
    <row r="49" spans="1:31" ht="15.75" x14ac:dyDescent="0.25">
      <c r="A49" s="18" t="s">
        <v>26</v>
      </c>
      <c r="B49" s="18" t="s">
        <v>15</v>
      </c>
      <c r="C49" s="25" t="s">
        <v>38</v>
      </c>
      <c r="D49" s="54" t="str">
        <f>AC49</f>
        <v xml:space="preserve">metal side panel full metal 1 pc </v>
      </c>
      <c r="Y49" t="str">
        <f>A49&amp;B49&amp;D49</f>
        <v xml:space="preserve">18U600x800metal side panel full metal 1 pc </v>
      </c>
      <c r="Z49" s="22">
        <f t="shared" si="17"/>
        <v>12.5</v>
      </c>
      <c r="AA49" s="55">
        <f t="shared" si="1"/>
        <v>0</v>
      </c>
      <c r="AC49" s="23" t="s">
        <v>12</v>
      </c>
      <c r="AD49" s="9"/>
      <c r="AE49" s="8">
        <v>12.5</v>
      </c>
    </row>
    <row r="50" spans="1:31" ht="15.75" x14ac:dyDescent="0.25">
      <c r="A50" s="18" t="s">
        <v>26</v>
      </c>
      <c r="B50" s="18" t="s">
        <v>15</v>
      </c>
      <c r="C50" s="25" t="s">
        <v>38</v>
      </c>
      <c r="Z50" s="56">
        <f t="shared" si="17"/>
        <v>6.5</v>
      </c>
      <c r="AA50" s="55">
        <f t="shared" si="1"/>
        <v>2</v>
      </c>
      <c r="AC50" s="23" t="s">
        <v>14</v>
      </c>
      <c r="AD50" s="9"/>
      <c r="AE50" s="8">
        <v>6.5</v>
      </c>
    </row>
    <row r="51" spans="1:31" ht="15.75" x14ac:dyDescent="0.25">
      <c r="A51" s="18" t="s">
        <v>26</v>
      </c>
      <c r="B51" s="18" t="s">
        <v>18</v>
      </c>
      <c r="C51" s="18" t="s">
        <v>38</v>
      </c>
      <c r="AA51" s="55">
        <f t="shared" si="1"/>
        <v>0</v>
      </c>
      <c r="AC51" s="4" t="s">
        <v>18</v>
      </c>
      <c r="AD51" s="5"/>
      <c r="AE51" s="6"/>
    </row>
    <row r="52" spans="1:31" ht="15.75" x14ac:dyDescent="0.25">
      <c r="A52" s="18" t="s">
        <v>26</v>
      </c>
      <c r="B52" s="18" t="s">
        <v>18</v>
      </c>
      <c r="C52" s="1" t="s">
        <v>38</v>
      </c>
      <c r="W52" t="str">
        <f>A52&amp;B52</f>
        <v>18U800x800</v>
      </c>
      <c r="Z52" s="56">
        <f>SUMPRODUCT(AA52:AA58,AE52:AE58)</f>
        <v>114</v>
      </c>
      <c r="AA52" s="55">
        <f t="shared" si="1"/>
        <v>1</v>
      </c>
      <c r="AC52" s="35" t="s">
        <v>4</v>
      </c>
      <c r="AD52" s="7"/>
      <c r="AE52" s="8">
        <v>101</v>
      </c>
    </row>
    <row r="53" spans="1:31" ht="15.75" x14ac:dyDescent="0.25">
      <c r="A53" s="18" t="s">
        <v>26</v>
      </c>
      <c r="B53" s="18" t="s">
        <v>18</v>
      </c>
      <c r="C53" s="24" t="str">
        <f>AC53</f>
        <v>Perforated door single leaf</v>
      </c>
      <c r="X53" t="str">
        <f t="shared" ref="X53:X56" si="18">A53&amp;B53&amp;C53</f>
        <v>18U800x800Perforated door single leaf</v>
      </c>
      <c r="Z53" s="22">
        <f>AE53</f>
        <v>0</v>
      </c>
      <c r="AA53" s="55">
        <f t="shared" si="1"/>
        <v>0</v>
      </c>
      <c r="AC53" s="36" t="s">
        <v>5</v>
      </c>
      <c r="AD53" s="9"/>
      <c r="AE53" s="31">
        <v>0</v>
      </c>
    </row>
    <row r="54" spans="1:31" ht="15.75" x14ac:dyDescent="0.25">
      <c r="A54" s="18" t="s">
        <v>26</v>
      </c>
      <c r="B54" s="18" t="s">
        <v>18</v>
      </c>
      <c r="C54" s="24" t="str">
        <f t="shared" ref="C54:C56" si="19">AC54</f>
        <v>Full metal door single leaf</v>
      </c>
      <c r="X54" t="str">
        <f t="shared" si="18"/>
        <v>18U800x800Full metal door single leaf</v>
      </c>
      <c r="Z54" s="22">
        <f t="shared" ref="Z54:Z58" si="20">AE54</f>
        <v>24.5</v>
      </c>
      <c r="AA54" s="55">
        <f t="shared" si="1"/>
        <v>0</v>
      </c>
      <c r="AC54" s="36" t="s">
        <v>6</v>
      </c>
      <c r="AD54" s="9"/>
      <c r="AE54" s="8">
        <v>24.5</v>
      </c>
    </row>
    <row r="55" spans="1:31" ht="15.75" x14ac:dyDescent="0.25">
      <c r="A55" s="18" t="s">
        <v>26</v>
      </c>
      <c r="B55" s="18" t="s">
        <v>18</v>
      </c>
      <c r="C55" s="24" t="str">
        <f t="shared" si="19"/>
        <v>Metal-glass door single leaf</v>
      </c>
      <c r="X55" t="str">
        <f t="shared" si="18"/>
        <v>18U800x800Metal-glass door single leaf</v>
      </c>
      <c r="Z55" s="22">
        <f t="shared" si="20"/>
        <v>35.5</v>
      </c>
      <c r="AA55" s="55">
        <f t="shared" si="1"/>
        <v>0</v>
      </c>
      <c r="AC55" s="23" t="s">
        <v>7</v>
      </c>
      <c r="AD55" s="9"/>
      <c r="AE55" s="8">
        <v>35.5</v>
      </c>
    </row>
    <row r="56" spans="1:31" ht="15.75" x14ac:dyDescent="0.25">
      <c r="A56" s="18" t="s">
        <v>26</v>
      </c>
      <c r="B56" s="18" t="s">
        <v>18</v>
      </c>
      <c r="C56" s="24" t="str">
        <f t="shared" si="19"/>
        <v>Back full metal panel</v>
      </c>
      <c r="X56" t="str">
        <f t="shared" si="18"/>
        <v>18U800x800Back full metal panel</v>
      </c>
      <c r="Z56" s="22">
        <f t="shared" si="20"/>
        <v>11.5</v>
      </c>
      <c r="AA56" s="55">
        <f t="shared" si="1"/>
        <v>0</v>
      </c>
      <c r="AC56" s="23" t="s">
        <v>10</v>
      </c>
      <c r="AD56" s="9"/>
      <c r="AE56" s="8">
        <v>11.5</v>
      </c>
    </row>
    <row r="57" spans="1:31" ht="15.75" x14ac:dyDescent="0.25">
      <c r="A57" s="18" t="s">
        <v>26</v>
      </c>
      <c r="B57" s="18" t="s">
        <v>18</v>
      </c>
      <c r="C57" s="25" t="s">
        <v>38</v>
      </c>
      <c r="D57" s="54" t="str">
        <f>AC57</f>
        <v xml:space="preserve">metal side panel full metal 1 pc </v>
      </c>
      <c r="Y57" t="str">
        <f>A57&amp;B57&amp;D57</f>
        <v xml:space="preserve">18U800x800metal side panel full metal 1 pc </v>
      </c>
      <c r="Z57" s="22">
        <f t="shared" si="20"/>
        <v>12.5</v>
      </c>
      <c r="AA57" s="55">
        <f t="shared" si="1"/>
        <v>0</v>
      </c>
      <c r="AC57" s="23" t="s">
        <v>12</v>
      </c>
      <c r="AD57" s="9"/>
      <c r="AE57" s="8">
        <v>12.5</v>
      </c>
    </row>
    <row r="58" spans="1:31" ht="15.75" x14ac:dyDescent="0.25">
      <c r="A58" s="18" t="s">
        <v>26</v>
      </c>
      <c r="B58" s="18" t="s">
        <v>18</v>
      </c>
      <c r="C58" s="25" t="s">
        <v>38</v>
      </c>
      <c r="Z58" s="56">
        <f t="shared" si="20"/>
        <v>6.5</v>
      </c>
      <c r="AA58" s="55">
        <f t="shared" si="1"/>
        <v>2</v>
      </c>
      <c r="AC58" s="23" t="s">
        <v>14</v>
      </c>
      <c r="AD58" s="9"/>
      <c r="AE58" s="8">
        <v>6.5</v>
      </c>
    </row>
    <row r="59" spans="1:31" ht="23.25" x14ac:dyDescent="0.25">
      <c r="A59" s="18" t="s">
        <v>27</v>
      </c>
      <c r="B59" s="18" t="s">
        <v>3</v>
      </c>
      <c r="C59" s="18" t="s">
        <v>38</v>
      </c>
      <c r="AA59" s="55">
        <f t="shared" si="1"/>
        <v>0</v>
      </c>
      <c r="AC59" s="26" t="s">
        <v>27</v>
      </c>
      <c r="AD59" s="26"/>
      <c r="AE59" s="26"/>
    </row>
    <row r="60" spans="1:31" ht="15.75" x14ac:dyDescent="0.25">
      <c r="A60" s="18" t="s">
        <v>27</v>
      </c>
      <c r="B60" s="18" t="s">
        <v>3</v>
      </c>
      <c r="C60" s="18" t="s">
        <v>38</v>
      </c>
      <c r="AA60" s="55">
        <f t="shared" si="1"/>
        <v>0</v>
      </c>
      <c r="AC60" s="4" t="s">
        <v>3</v>
      </c>
      <c r="AD60" s="5"/>
      <c r="AE60" s="6"/>
    </row>
    <row r="61" spans="1:31" ht="15.75" x14ac:dyDescent="0.25">
      <c r="A61" s="18" t="s">
        <v>27</v>
      </c>
      <c r="B61" s="18" t="s">
        <v>3</v>
      </c>
      <c r="C61" s="1" t="s">
        <v>38</v>
      </c>
      <c r="W61" t="str">
        <f>A61&amp;B61</f>
        <v>22U600x600</v>
      </c>
      <c r="Z61" s="56">
        <f>SUMPRODUCT(AA61:AA67,AE61:AE67)</f>
        <v>104</v>
      </c>
      <c r="AA61" s="55">
        <f t="shared" si="1"/>
        <v>1</v>
      </c>
      <c r="AC61" s="35" t="s">
        <v>4</v>
      </c>
      <c r="AD61" s="7"/>
      <c r="AE61" s="8">
        <v>90</v>
      </c>
    </row>
    <row r="62" spans="1:31" ht="15.75" x14ac:dyDescent="0.25">
      <c r="A62" s="18" t="s">
        <v>27</v>
      </c>
      <c r="B62" s="18" t="s">
        <v>3</v>
      </c>
      <c r="C62" s="24" t="str">
        <f>AC62</f>
        <v>Perforated door single leaf</v>
      </c>
      <c r="X62" t="str">
        <f t="shared" ref="X62:X65" si="21">A62&amp;B62&amp;C62</f>
        <v>22U600x600Perforated door single leaf</v>
      </c>
      <c r="Z62" s="22">
        <f>AE62</f>
        <v>0</v>
      </c>
      <c r="AA62" s="55">
        <f t="shared" si="1"/>
        <v>0</v>
      </c>
      <c r="AC62" s="36" t="s">
        <v>5</v>
      </c>
      <c r="AD62" s="9"/>
      <c r="AE62" s="31">
        <v>0</v>
      </c>
    </row>
    <row r="63" spans="1:31" ht="15.75" x14ac:dyDescent="0.25">
      <c r="A63" s="18" t="s">
        <v>27</v>
      </c>
      <c r="B63" s="18" t="s">
        <v>3</v>
      </c>
      <c r="C63" s="24" t="str">
        <f t="shared" ref="C63:C65" si="22">AC63</f>
        <v>Full metal door single leaf</v>
      </c>
      <c r="X63" t="str">
        <f t="shared" si="21"/>
        <v>22U600x600Full metal door single leaf</v>
      </c>
      <c r="Z63" s="22">
        <f t="shared" ref="Z63:Z67" si="23">AE63</f>
        <v>22</v>
      </c>
      <c r="AA63" s="55">
        <f t="shared" si="1"/>
        <v>0</v>
      </c>
      <c r="AC63" s="36" t="s">
        <v>6</v>
      </c>
      <c r="AD63" s="9"/>
      <c r="AE63" s="8">
        <v>22</v>
      </c>
    </row>
    <row r="64" spans="1:31" ht="15.75" x14ac:dyDescent="0.25">
      <c r="A64" s="18" t="s">
        <v>27</v>
      </c>
      <c r="B64" s="18" t="s">
        <v>3</v>
      </c>
      <c r="C64" s="24" t="str">
        <f t="shared" si="22"/>
        <v>Metal-glass door single leaf</v>
      </c>
      <c r="X64" t="str">
        <f t="shared" si="21"/>
        <v>22U600x600Metal-glass door single leaf</v>
      </c>
      <c r="Z64" s="22">
        <f t="shared" si="23"/>
        <v>29</v>
      </c>
      <c r="AA64" s="55">
        <f t="shared" si="1"/>
        <v>0</v>
      </c>
      <c r="AC64" s="23" t="s">
        <v>7</v>
      </c>
      <c r="AD64" s="9"/>
      <c r="AE64" s="8">
        <v>29</v>
      </c>
    </row>
    <row r="65" spans="1:31" ht="15.75" x14ac:dyDescent="0.25">
      <c r="A65" s="18" t="s">
        <v>27</v>
      </c>
      <c r="B65" s="18" t="s">
        <v>3</v>
      </c>
      <c r="C65" s="24" t="str">
        <f t="shared" si="22"/>
        <v>Back full metal panel</v>
      </c>
      <c r="X65" t="str">
        <f t="shared" si="21"/>
        <v>22U600x600Back full metal panel</v>
      </c>
      <c r="Z65" s="22">
        <f t="shared" si="23"/>
        <v>11</v>
      </c>
      <c r="AA65" s="55">
        <f t="shared" si="1"/>
        <v>0</v>
      </c>
      <c r="AC65" s="23" t="s">
        <v>10</v>
      </c>
      <c r="AD65" s="9"/>
      <c r="AE65" s="8">
        <v>11</v>
      </c>
    </row>
    <row r="66" spans="1:31" ht="15.75" x14ac:dyDescent="0.25">
      <c r="A66" s="18" t="s">
        <v>27</v>
      </c>
      <c r="B66" s="18" t="s">
        <v>3</v>
      </c>
      <c r="C66" s="25" t="s">
        <v>38</v>
      </c>
      <c r="D66" s="54" t="str">
        <f>AC66</f>
        <v xml:space="preserve">metal side panel full metal 1 pc </v>
      </c>
      <c r="Y66" t="str">
        <f>A66&amp;B66&amp;D66</f>
        <v xml:space="preserve">22U600x600metal side panel full metal 1 pc </v>
      </c>
      <c r="Z66" s="22">
        <f t="shared" si="23"/>
        <v>13</v>
      </c>
      <c r="AA66" s="55">
        <f t="shared" si="1"/>
        <v>0</v>
      </c>
      <c r="AC66" s="23" t="s">
        <v>12</v>
      </c>
      <c r="AD66" s="9"/>
      <c r="AE66" s="8">
        <v>13</v>
      </c>
    </row>
    <row r="67" spans="1:31" ht="15.75" x14ac:dyDescent="0.25">
      <c r="A67" s="18" t="s">
        <v>27</v>
      </c>
      <c r="B67" s="18" t="s">
        <v>3</v>
      </c>
      <c r="C67" s="25" t="s">
        <v>38</v>
      </c>
      <c r="Z67" s="56">
        <f t="shared" si="23"/>
        <v>7</v>
      </c>
      <c r="AA67" s="55">
        <f t="shared" si="1"/>
        <v>2</v>
      </c>
      <c r="AC67" s="23" t="s">
        <v>14</v>
      </c>
      <c r="AD67" s="9"/>
      <c r="AE67" s="8">
        <v>7</v>
      </c>
    </row>
    <row r="68" spans="1:31" ht="15.75" x14ac:dyDescent="0.25">
      <c r="A68" s="18" t="s">
        <v>27</v>
      </c>
      <c r="B68" s="18" t="s">
        <v>15</v>
      </c>
      <c r="C68" s="18" t="s">
        <v>38</v>
      </c>
      <c r="D68" s="19"/>
      <c r="AA68" s="55">
        <f t="shared" ref="AA68:AA131" si="24">IF(AC68="Frame",1,IF(LEFT(AC68,8)="Mounting",2,0))</f>
        <v>0</v>
      </c>
      <c r="AC68" s="4" t="s">
        <v>15</v>
      </c>
      <c r="AD68" s="5"/>
      <c r="AE68" s="6"/>
    </row>
    <row r="69" spans="1:31" ht="15.75" x14ac:dyDescent="0.25">
      <c r="A69" s="18" t="s">
        <v>27</v>
      </c>
      <c r="B69" s="18" t="s">
        <v>15</v>
      </c>
      <c r="C69" s="1" t="s">
        <v>38</v>
      </c>
      <c r="W69" t="str">
        <f>A69&amp;B69</f>
        <v>22U600x800</v>
      </c>
      <c r="Z69" s="56">
        <f>SUMPRODUCT(AA69:AA75,AE69:AE75)</f>
        <v>115</v>
      </c>
      <c r="AA69" s="55">
        <f t="shared" si="24"/>
        <v>1</v>
      </c>
      <c r="AC69" s="35" t="s">
        <v>4</v>
      </c>
      <c r="AD69" s="7"/>
      <c r="AE69" s="8">
        <v>101</v>
      </c>
    </row>
    <row r="70" spans="1:31" ht="15.75" x14ac:dyDescent="0.25">
      <c r="A70" s="18" t="s">
        <v>27</v>
      </c>
      <c r="B70" s="18" t="s">
        <v>15</v>
      </c>
      <c r="C70" s="24" t="str">
        <f>AC70</f>
        <v>Perforated door single leaf</v>
      </c>
      <c r="X70" t="str">
        <f t="shared" ref="X70:X73" si="25">A70&amp;B70&amp;C70</f>
        <v>22U600x800Perforated door single leaf</v>
      </c>
      <c r="Z70" s="22">
        <f>AE70</f>
        <v>0</v>
      </c>
      <c r="AA70" s="55">
        <f t="shared" si="24"/>
        <v>0</v>
      </c>
      <c r="AC70" s="36" t="s">
        <v>5</v>
      </c>
      <c r="AD70" s="9"/>
      <c r="AE70" s="31">
        <v>0</v>
      </c>
    </row>
    <row r="71" spans="1:31" ht="15.75" x14ac:dyDescent="0.25">
      <c r="A71" s="18" t="s">
        <v>27</v>
      </c>
      <c r="B71" s="18" t="s">
        <v>15</v>
      </c>
      <c r="C71" s="24" t="str">
        <f t="shared" ref="C71:C73" si="26">AC71</f>
        <v>Full metal door single leaf</v>
      </c>
      <c r="X71" t="str">
        <f t="shared" si="25"/>
        <v>22U600x800Full metal door single leaf</v>
      </c>
      <c r="Z71" s="22">
        <f t="shared" ref="Z71:Z75" si="27">AE71</f>
        <v>22</v>
      </c>
      <c r="AA71" s="55">
        <f t="shared" si="24"/>
        <v>0</v>
      </c>
      <c r="AC71" s="36" t="s">
        <v>6</v>
      </c>
      <c r="AD71" s="9"/>
      <c r="AE71" s="8">
        <v>22</v>
      </c>
    </row>
    <row r="72" spans="1:31" ht="15.75" x14ac:dyDescent="0.25">
      <c r="A72" s="18" t="s">
        <v>27</v>
      </c>
      <c r="B72" s="18" t="s">
        <v>15</v>
      </c>
      <c r="C72" s="24" t="str">
        <f t="shared" si="26"/>
        <v>Metal-glass door single leaf</v>
      </c>
      <c r="X72" t="str">
        <f t="shared" si="25"/>
        <v>22U600x800Metal-glass door single leaf</v>
      </c>
      <c r="Z72" s="22">
        <f t="shared" si="27"/>
        <v>29</v>
      </c>
      <c r="AA72" s="55">
        <f t="shared" si="24"/>
        <v>0</v>
      </c>
      <c r="AC72" s="23" t="s">
        <v>7</v>
      </c>
      <c r="AD72" s="9"/>
      <c r="AE72" s="8">
        <v>29</v>
      </c>
    </row>
    <row r="73" spans="1:31" ht="15.75" x14ac:dyDescent="0.25">
      <c r="A73" s="18" t="s">
        <v>27</v>
      </c>
      <c r="B73" s="18" t="s">
        <v>15</v>
      </c>
      <c r="C73" s="24" t="str">
        <f t="shared" si="26"/>
        <v>Back full metal panel</v>
      </c>
      <c r="X73" t="str">
        <f t="shared" si="25"/>
        <v>22U600x800Back full metal panel</v>
      </c>
      <c r="Z73" s="22">
        <f t="shared" si="27"/>
        <v>11</v>
      </c>
      <c r="AA73" s="55">
        <f t="shared" si="24"/>
        <v>0</v>
      </c>
      <c r="AC73" s="23" t="s">
        <v>10</v>
      </c>
      <c r="AD73" s="9"/>
      <c r="AE73" s="8">
        <v>11</v>
      </c>
    </row>
    <row r="74" spans="1:31" ht="15.75" x14ac:dyDescent="0.25">
      <c r="A74" s="18" t="s">
        <v>27</v>
      </c>
      <c r="B74" s="18" t="s">
        <v>15</v>
      </c>
      <c r="C74" s="25" t="s">
        <v>38</v>
      </c>
      <c r="D74" s="54" t="str">
        <f>AC74</f>
        <v xml:space="preserve">metal side panel full metal 1 pc </v>
      </c>
      <c r="Y74" t="str">
        <f>A74&amp;B74&amp;D74</f>
        <v xml:space="preserve">22U600x800metal side panel full metal 1 pc </v>
      </c>
      <c r="Z74" s="22">
        <f t="shared" si="27"/>
        <v>16</v>
      </c>
      <c r="AA74" s="55">
        <f t="shared" si="24"/>
        <v>0</v>
      </c>
      <c r="AC74" s="23" t="s">
        <v>12</v>
      </c>
      <c r="AD74" s="9"/>
      <c r="AE74" s="8">
        <v>16</v>
      </c>
    </row>
    <row r="75" spans="1:31" ht="15.75" x14ac:dyDescent="0.25">
      <c r="A75" s="18" t="s">
        <v>27</v>
      </c>
      <c r="B75" s="18" t="s">
        <v>15</v>
      </c>
      <c r="C75" s="25" t="s">
        <v>38</v>
      </c>
      <c r="Z75" s="56">
        <f t="shared" si="27"/>
        <v>7</v>
      </c>
      <c r="AA75" s="55">
        <f t="shared" si="24"/>
        <v>2</v>
      </c>
      <c r="AC75" s="23" t="s">
        <v>14</v>
      </c>
      <c r="AD75" s="9"/>
      <c r="AE75" s="8">
        <v>7</v>
      </c>
    </row>
    <row r="76" spans="1:31" ht="15.75" x14ac:dyDescent="0.25">
      <c r="A76" s="18" t="s">
        <v>27</v>
      </c>
      <c r="B76" s="18" t="s">
        <v>18</v>
      </c>
      <c r="C76" s="18" t="s">
        <v>38</v>
      </c>
      <c r="AA76" s="55">
        <f t="shared" si="24"/>
        <v>0</v>
      </c>
      <c r="AC76" s="4" t="s">
        <v>18</v>
      </c>
      <c r="AD76" s="5"/>
      <c r="AE76" s="6"/>
    </row>
    <row r="77" spans="1:31" ht="15.75" x14ac:dyDescent="0.25">
      <c r="A77" s="18" t="s">
        <v>27</v>
      </c>
      <c r="B77" s="18" t="s">
        <v>18</v>
      </c>
      <c r="C77" s="1" t="s">
        <v>38</v>
      </c>
      <c r="W77" t="str">
        <f>A77&amp;B77</f>
        <v>22U800x800</v>
      </c>
      <c r="Z77" s="56">
        <f>SUMPRODUCT(AA77:AA83,AE77:AE83)</f>
        <v>117.5</v>
      </c>
      <c r="AA77" s="55">
        <f t="shared" si="24"/>
        <v>1</v>
      </c>
      <c r="AC77" s="35" t="s">
        <v>4</v>
      </c>
      <c r="AD77" s="7"/>
      <c r="AE77" s="8">
        <v>103.5</v>
      </c>
    </row>
    <row r="78" spans="1:31" ht="15.75" x14ac:dyDescent="0.25">
      <c r="A78" s="18" t="s">
        <v>27</v>
      </c>
      <c r="B78" s="18" t="s">
        <v>18</v>
      </c>
      <c r="C78" s="24" t="str">
        <f>AC78</f>
        <v>Perforated door single leaf</v>
      </c>
      <c r="X78" t="str">
        <f t="shared" ref="X78:X81" si="28">A78&amp;B78&amp;C78</f>
        <v>22U800x800Perforated door single leaf</v>
      </c>
      <c r="Z78" s="22">
        <f>AE78</f>
        <v>0</v>
      </c>
      <c r="AA78" s="55">
        <f t="shared" si="24"/>
        <v>0</v>
      </c>
      <c r="AC78" s="36" t="s">
        <v>5</v>
      </c>
      <c r="AD78" s="9"/>
      <c r="AE78" s="31">
        <v>0</v>
      </c>
    </row>
    <row r="79" spans="1:31" ht="15.75" x14ac:dyDescent="0.25">
      <c r="A79" s="18" t="s">
        <v>27</v>
      </c>
      <c r="B79" s="18" t="s">
        <v>18</v>
      </c>
      <c r="C79" s="24" t="str">
        <f t="shared" ref="C79:C81" si="29">AC79</f>
        <v>Full metal door single leaf</v>
      </c>
      <c r="X79" t="str">
        <f t="shared" si="28"/>
        <v>22U800x800Full metal door single leaf</v>
      </c>
      <c r="Z79" s="22">
        <f t="shared" ref="Z79:Z83" si="30">AE79</f>
        <v>26</v>
      </c>
      <c r="AA79" s="55">
        <f t="shared" si="24"/>
        <v>0</v>
      </c>
      <c r="AC79" s="36" t="s">
        <v>6</v>
      </c>
      <c r="AD79" s="9"/>
      <c r="AE79" s="8">
        <v>26</v>
      </c>
    </row>
    <row r="80" spans="1:31" ht="15.75" x14ac:dyDescent="0.25">
      <c r="A80" s="18" t="s">
        <v>27</v>
      </c>
      <c r="B80" s="18" t="s">
        <v>18</v>
      </c>
      <c r="C80" s="24" t="str">
        <f t="shared" si="29"/>
        <v>Metal-glass door single leaf</v>
      </c>
      <c r="X80" t="str">
        <f t="shared" si="28"/>
        <v>22U800x800Metal-glass door single leaf</v>
      </c>
      <c r="Z80" s="22">
        <f t="shared" si="30"/>
        <v>37</v>
      </c>
      <c r="AA80" s="55">
        <f t="shared" si="24"/>
        <v>0</v>
      </c>
      <c r="AC80" s="23" t="s">
        <v>7</v>
      </c>
      <c r="AD80" s="9"/>
      <c r="AE80" s="8">
        <v>37</v>
      </c>
    </row>
    <row r="81" spans="1:31" ht="15.75" x14ac:dyDescent="0.25">
      <c r="A81" s="18" t="s">
        <v>27</v>
      </c>
      <c r="B81" s="18" t="s">
        <v>18</v>
      </c>
      <c r="C81" s="24" t="str">
        <f t="shared" si="29"/>
        <v>Back full metal panel</v>
      </c>
      <c r="X81" t="str">
        <f t="shared" si="28"/>
        <v>22U800x800Back full metal panel</v>
      </c>
      <c r="Z81" s="22">
        <f t="shared" si="30"/>
        <v>12.5</v>
      </c>
      <c r="AA81" s="55">
        <f t="shared" si="24"/>
        <v>0</v>
      </c>
      <c r="AC81" s="23" t="s">
        <v>10</v>
      </c>
      <c r="AD81" s="9"/>
      <c r="AE81" s="8">
        <v>12.5</v>
      </c>
    </row>
    <row r="82" spans="1:31" ht="15.75" x14ac:dyDescent="0.25">
      <c r="A82" s="18" t="s">
        <v>27</v>
      </c>
      <c r="B82" s="18" t="s">
        <v>18</v>
      </c>
      <c r="C82" s="25" t="s">
        <v>38</v>
      </c>
      <c r="D82" s="54" t="str">
        <f>AC82</f>
        <v xml:space="preserve">metal side panel full metal 1 pc </v>
      </c>
      <c r="Y82" t="str">
        <f>A82&amp;B82&amp;D82</f>
        <v xml:space="preserve">22U800x800metal side panel full metal 1 pc </v>
      </c>
      <c r="Z82" s="22">
        <f t="shared" si="30"/>
        <v>16</v>
      </c>
      <c r="AA82" s="55">
        <f t="shared" si="24"/>
        <v>0</v>
      </c>
      <c r="AC82" s="23" t="s">
        <v>12</v>
      </c>
      <c r="AD82" s="9"/>
      <c r="AE82" s="8">
        <v>16</v>
      </c>
    </row>
    <row r="83" spans="1:31" ht="15.75" x14ac:dyDescent="0.25">
      <c r="A83" s="18" t="s">
        <v>27</v>
      </c>
      <c r="B83" s="18" t="s">
        <v>18</v>
      </c>
      <c r="C83" s="25" t="s">
        <v>38</v>
      </c>
      <c r="Z83" s="56">
        <f t="shared" si="30"/>
        <v>7</v>
      </c>
      <c r="AA83" s="55">
        <f t="shared" si="24"/>
        <v>2</v>
      </c>
      <c r="AC83" s="23" t="s">
        <v>14</v>
      </c>
      <c r="AD83" s="9"/>
      <c r="AE83" s="8">
        <v>7</v>
      </c>
    </row>
    <row r="84" spans="1:31" ht="15.75" x14ac:dyDescent="0.25">
      <c r="A84" s="18" t="s">
        <v>27</v>
      </c>
      <c r="B84" s="18" t="s">
        <v>47</v>
      </c>
      <c r="C84" s="18" t="s">
        <v>38</v>
      </c>
      <c r="AA84" s="55">
        <f t="shared" si="24"/>
        <v>0</v>
      </c>
      <c r="AC84" s="4" t="s">
        <v>47</v>
      </c>
      <c r="AD84" s="5"/>
      <c r="AE84" s="6"/>
    </row>
    <row r="85" spans="1:31" ht="15.75" x14ac:dyDescent="0.25">
      <c r="A85" s="18" t="s">
        <v>27</v>
      </c>
      <c r="B85" s="18" t="s">
        <v>47</v>
      </c>
      <c r="C85" s="1" t="s">
        <v>38</v>
      </c>
      <c r="W85" t="str">
        <f>A85&amp;B85</f>
        <v>22U800x900</v>
      </c>
      <c r="Z85" s="56">
        <f>SUMPRODUCT(AA85:AA91,AE85:AE91)</f>
        <v>128</v>
      </c>
      <c r="AA85" s="55">
        <f t="shared" si="24"/>
        <v>1</v>
      </c>
      <c r="AC85" s="35" t="s">
        <v>4</v>
      </c>
      <c r="AD85" s="7"/>
      <c r="AE85" s="8">
        <v>114</v>
      </c>
    </row>
    <row r="86" spans="1:31" ht="15.75" x14ac:dyDescent="0.25">
      <c r="A86" t="s">
        <v>27</v>
      </c>
      <c r="B86" t="s">
        <v>47</v>
      </c>
      <c r="C86" s="24" t="str">
        <f>AC86</f>
        <v>Perforated door single leaf</v>
      </c>
      <c r="X86" t="str">
        <f t="shared" ref="X86:X89" si="31">A86&amp;B86&amp;C86</f>
        <v>22U800x900Perforated door single leaf</v>
      </c>
      <c r="Z86" s="22">
        <f>AE86</f>
        <v>0</v>
      </c>
      <c r="AA86" s="55">
        <f t="shared" si="24"/>
        <v>0</v>
      </c>
      <c r="AC86" s="36" t="s">
        <v>5</v>
      </c>
      <c r="AD86" s="9"/>
      <c r="AE86" s="31">
        <v>0</v>
      </c>
    </row>
    <row r="87" spans="1:31" ht="15.75" x14ac:dyDescent="0.25">
      <c r="A87" t="s">
        <v>27</v>
      </c>
      <c r="B87" t="s">
        <v>47</v>
      </c>
      <c r="C87" s="24" t="str">
        <f t="shared" ref="C87:C89" si="32">AC87</f>
        <v>Full metal door single leaf</v>
      </c>
      <c r="X87" t="str">
        <f t="shared" si="31"/>
        <v>22U800x900Full metal door single leaf</v>
      </c>
      <c r="Z87" s="22">
        <f t="shared" ref="Z87:Z91" si="33">AE87</f>
        <v>26</v>
      </c>
      <c r="AA87" s="55">
        <f t="shared" si="24"/>
        <v>0</v>
      </c>
      <c r="AC87" s="36" t="s">
        <v>6</v>
      </c>
      <c r="AD87" s="9"/>
      <c r="AE87" s="8">
        <v>26</v>
      </c>
    </row>
    <row r="88" spans="1:31" ht="15.75" x14ac:dyDescent="0.25">
      <c r="A88" t="s">
        <v>27</v>
      </c>
      <c r="B88" t="s">
        <v>47</v>
      </c>
      <c r="C88" s="24" t="str">
        <f t="shared" si="32"/>
        <v>Metal-glass door single leaf</v>
      </c>
      <c r="X88" t="str">
        <f t="shared" si="31"/>
        <v>22U800x900Metal-glass door single leaf</v>
      </c>
      <c r="Z88" s="22">
        <f t="shared" si="33"/>
        <v>37</v>
      </c>
      <c r="AA88" s="55">
        <f t="shared" si="24"/>
        <v>0</v>
      </c>
      <c r="AC88" s="23" t="s">
        <v>7</v>
      </c>
      <c r="AD88" s="9"/>
      <c r="AE88" s="8">
        <v>37</v>
      </c>
    </row>
    <row r="89" spans="1:31" ht="15.75" x14ac:dyDescent="0.25">
      <c r="A89" t="s">
        <v>27</v>
      </c>
      <c r="B89" t="s">
        <v>47</v>
      </c>
      <c r="C89" s="24" t="str">
        <f t="shared" si="32"/>
        <v>Back full metal panel</v>
      </c>
      <c r="X89" t="str">
        <f t="shared" si="31"/>
        <v>22U800x900Back full metal panel</v>
      </c>
      <c r="Z89" s="22">
        <f t="shared" si="33"/>
        <v>12.5</v>
      </c>
      <c r="AA89" s="55">
        <f t="shared" si="24"/>
        <v>0</v>
      </c>
      <c r="AC89" s="23" t="s">
        <v>10</v>
      </c>
      <c r="AD89" s="9"/>
      <c r="AE89" s="8">
        <v>12.5</v>
      </c>
    </row>
    <row r="90" spans="1:31" ht="15.75" x14ac:dyDescent="0.25">
      <c r="A90" t="s">
        <v>27</v>
      </c>
      <c r="B90" t="s">
        <v>47</v>
      </c>
      <c r="C90" s="25" t="s">
        <v>38</v>
      </c>
      <c r="D90" s="54" t="str">
        <f>AC90</f>
        <v xml:space="preserve">metal side panel full metal 1 pc </v>
      </c>
      <c r="Y90" t="str">
        <f>A90&amp;B90&amp;D90</f>
        <v xml:space="preserve">22U800x900metal side panel full metal 1 pc </v>
      </c>
      <c r="Z90" s="22">
        <f t="shared" si="33"/>
        <v>16.5</v>
      </c>
      <c r="AA90" s="55">
        <f t="shared" si="24"/>
        <v>0</v>
      </c>
      <c r="AC90" s="23" t="s">
        <v>12</v>
      </c>
      <c r="AD90" s="9"/>
      <c r="AE90" s="8">
        <v>16.5</v>
      </c>
    </row>
    <row r="91" spans="1:31" ht="15.75" x14ac:dyDescent="0.25">
      <c r="A91" t="s">
        <v>27</v>
      </c>
      <c r="B91" t="s">
        <v>47</v>
      </c>
      <c r="C91" s="25" t="s">
        <v>38</v>
      </c>
      <c r="Z91" s="56">
        <f t="shared" si="33"/>
        <v>7</v>
      </c>
      <c r="AA91" s="55">
        <f t="shared" si="24"/>
        <v>2</v>
      </c>
      <c r="AC91" s="23" t="s">
        <v>14</v>
      </c>
      <c r="AD91" s="9"/>
      <c r="AE91" s="8">
        <v>7</v>
      </c>
    </row>
    <row r="92" spans="1:31" ht="23.25" x14ac:dyDescent="0.25">
      <c r="A92" t="s">
        <v>28</v>
      </c>
      <c r="B92" t="s">
        <v>3</v>
      </c>
      <c r="C92" s="18" t="s">
        <v>38</v>
      </c>
      <c r="AA92" s="55">
        <f t="shared" si="24"/>
        <v>0</v>
      </c>
      <c r="AC92" s="26" t="s">
        <v>28</v>
      </c>
      <c r="AD92" s="26"/>
      <c r="AE92" s="26"/>
    </row>
    <row r="93" spans="1:31" ht="15.75" x14ac:dyDescent="0.25">
      <c r="A93" t="s">
        <v>28</v>
      </c>
      <c r="B93" t="s">
        <v>3</v>
      </c>
      <c r="C93" s="18" t="s">
        <v>38</v>
      </c>
      <c r="AA93" s="55">
        <f t="shared" si="24"/>
        <v>0</v>
      </c>
      <c r="AC93" s="37" t="s">
        <v>3</v>
      </c>
      <c r="AD93" s="38"/>
      <c r="AE93" s="6"/>
    </row>
    <row r="94" spans="1:31" ht="15.75" x14ac:dyDescent="0.25">
      <c r="A94" t="s">
        <v>28</v>
      </c>
      <c r="B94" t="s">
        <v>3</v>
      </c>
      <c r="C94" s="1" t="s">
        <v>38</v>
      </c>
      <c r="W94" t="str">
        <f>A94&amp;B94</f>
        <v>24U600x600</v>
      </c>
      <c r="Z94" s="56">
        <f>SUMPRODUCT(AA94:AA100,AE94:AE100)</f>
        <v>118</v>
      </c>
      <c r="AA94" s="55">
        <f t="shared" si="24"/>
        <v>1</v>
      </c>
      <c r="AC94" s="35" t="s">
        <v>4</v>
      </c>
      <c r="AD94" s="7"/>
      <c r="AE94" s="8">
        <v>104</v>
      </c>
    </row>
    <row r="95" spans="1:31" ht="15.75" x14ac:dyDescent="0.25">
      <c r="A95" t="s">
        <v>28</v>
      </c>
      <c r="B95" t="s">
        <v>3</v>
      </c>
      <c r="C95" s="24" t="str">
        <f>AC95</f>
        <v>Perforated door single leaf</v>
      </c>
      <c r="X95" t="str">
        <f t="shared" ref="X95:X98" si="34">A95&amp;B95&amp;C95</f>
        <v>24U600x600Perforated door single leaf</v>
      </c>
      <c r="Z95" s="22">
        <f>AE95</f>
        <v>52</v>
      </c>
      <c r="AA95" s="55">
        <f t="shared" si="24"/>
        <v>0</v>
      </c>
      <c r="AC95" s="36" t="s">
        <v>5</v>
      </c>
      <c r="AD95" s="9"/>
      <c r="AE95" s="8">
        <v>52</v>
      </c>
    </row>
    <row r="96" spans="1:31" ht="15.75" x14ac:dyDescent="0.25">
      <c r="A96" t="s">
        <v>28</v>
      </c>
      <c r="B96" t="s">
        <v>3</v>
      </c>
      <c r="C96" s="24" t="str">
        <f t="shared" ref="C96:C98" si="35">AC96</f>
        <v>Full metal door single leaf</v>
      </c>
      <c r="X96" t="str">
        <f t="shared" si="34"/>
        <v>24U600x600Full metal door single leaf</v>
      </c>
      <c r="Z96" s="22">
        <f t="shared" ref="Z96:Z100" si="36">AE96</f>
        <v>26</v>
      </c>
      <c r="AA96" s="55">
        <f t="shared" si="24"/>
        <v>0</v>
      </c>
      <c r="AC96" s="36" t="s">
        <v>6</v>
      </c>
      <c r="AD96" s="9"/>
      <c r="AE96" s="8">
        <v>26</v>
      </c>
    </row>
    <row r="97" spans="1:31" ht="15.75" x14ac:dyDescent="0.25">
      <c r="A97" t="s">
        <v>28</v>
      </c>
      <c r="B97" t="s">
        <v>3</v>
      </c>
      <c r="C97" s="24" t="str">
        <f t="shared" si="35"/>
        <v>Metal-glass door single leaf</v>
      </c>
      <c r="X97" t="str">
        <f t="shared" si="34"/>
        <v>24U600x600Metal-glass door single leaf</v>
      </c>
      <c r="Z97" s="22">
        <f t="shared" si="36"/>
        <v>32</v>
      </c>
      <c r="AA97" s="55">
        <f t="shared" si="24"/>
        <v>0</v>
      </c>
      <c r="AC97" s="23" t="s">
        <v>7</v>
      </c>
      <c r="AD97" s="9"/>
      <c r="AE97" s="8">
        <v>32</v>
      </c>
    </row>
    <row r="98" spans="1:31" ht="15.75" x14ac:dyDescent="0.25">
      <c r="A98" t="s">
        <v>28</v>
      </c>
      <c r="B98" t="s">
        <v>3</v>
      </c>
      <c r="C98" s="24" t="str">
        <f t="shared" si="35"/>
        <v>Back full metal panel</v>
      </c>
      <c r="X98" t="str">
        <f t="shared" si="34"/>
        <v>24U600x600Back full metal panel</v>
      </c>
      <c r="Z98" s="22">
        <f t="shared" si="36"/>
        <v>11</v>
      </c>
      <c r="AA98" s="55">
        <f t="shared" si="24"/>
        <v>0</v>
      </c>
      <c r="AC98" s="23" t="s">
        <v>10</v>
      </c>
      <c r="AD98" s="9"/>
      <c r="AE98" s="8">
        <v>11</v>
      </c>
    </row>
    <row r="99" spans="1:31" ht="15.75" x14ac:dyDescent="0.25">
      <c r="A99" t="s">
        <v>28</v>
      </c>
      <c r="B99" t="s">
        <v>3</v>
      </c>
      <c r="C99" s="25" t="s">
        <v>38</v>
      </c>
      <c r="D99" s="54" t="str">
        <f>AC99</f>
        <v xml:space="preserve">metal side panel full metal 1 pc </v>
      </c>
      <c r="Y99" t="str">
        <f>A99&amp;B99&amp;D99</f>
        <v xml:space="preserve">24U600x600metal side panel full metal 1 pc </v>
      </c>
      <c r="Z99" s="22">
        <f t="shared" si="36"/>
        <v>13.5</v>
      </c>
      <c r="AA99" s="55">
        <f t="shared" si="24"/>
        <v>0</v>
      </c>
      <c r="AC99" s="23" t="s">
        <v>12</v>
      </c>
      <c r="AD99" s="9"/>
      <c r="AE99" s="8">
        <v>13.5</v>
      </c>
    </row>
    <row r="100" spans="1:31" ht="15.75" x14ac:dyDescent="0.25">
      <c r="A100" t="s">
        <v>28</v>
      </c>
      <c r="B100" t="s">
        <v>3</v>
      </c>
      <c r="C100" s="25" t="s">
        <v>38</v>
      </c>
      <c r="Z100" s="56">
        <f t="shared" si="36"/>
        <v>7</v>
      </c>
      <c r="AA100" s="55">
        <f t="shared" si="24"/>
        <v>2</v>
      </c>
      <c r="AC100" s="23" t="s">
        <v>14</v>
      </c>
      <c r="AD100" s="9"/>
      <c r="AE100" s="8">
        <v>7</v>
      </c>
    </row>
    <row r="101" spans="1:31" ht="15.75" x14ac:dyDescent="0.25">
      <c r="A101" t="s">
        <v>28</v>
      </c>
      <c r="B101" t="s">
        <v>23</v>
      </c>
      <c r="C101" s="18" t="s">
        <v>38</v>
      </c>
      <c r="AA101" s="55">
        <f t="shared" si="24"/>
        <v>0</v>
      </c>
      <c r="AC101" s="4" t="s">
        <v>23</v>
      </c>
      <c r="AD101" s="5"/>
      <c r="AE101" s="6"/>
    </row>
    <row r="102" spans="1:31" ht="15.75" x14ac:dyDescent="0.25">
      <c r="A102" t="s">
        <v>28</v>
      </c>
      <c r="B102" t="s">
        <v>23</v>
      </c>
      <c r="C102" s="1" t="s">
        <v>38</v>
      </c>
      <c r="W102" t="str">
        <f>A102&amp;B102</f>
        <v>24U800x1000</v>
      </c>
      <c r="Z102" s="56">
        <f>SUMPRODUCT(AA102:AA109,AE102:AE109)</f>
        <v>127.5</v>
      </c>
      <c r="AA102" s="55">
        <f t="shared" si="24"/>
        <v>1</v>
      </c>
      <c r="AC102" s="35" t="s">
        <v>4</v>
      </c>
      <c r="AD102" s="7"/>
      <c r="AE102" s="8">
        <v>113.5</v>
      </c>
    </row>
    <row r="103" spans="1:31" ht="15.75" x14ac:dyDescent="0.25">
      <c r="A103" t="s">
        <v>28</v>
      </c>
      <c r="B103" t="s">
        <v>23</v>
      </c>
      <c r="C103" s="24" t="str">
        <f>AC103</f>
        <v>Perforated door single leaf</v>
      </c>
      <c r="X103" t="str">
        <f t="shared" ref="X103:X106" si="37">A103&amp;B103&amp;C103</f>
        <v>24U800x1000Perforated door single leaf</v>
      </c>
      <c r="Z103" s="22">
        <f>AE103</f>
        <v>73</v>
      </c>
      <c r="AA103" s="55">
        <f t="shared" si="24"/>
        <v>0</v>
      </c>
      <c r="AC103" s="36" t="s">
        <v>5</v>
      </c>
      <c r="AD103" s="9"/>
      <c r="AE103" s="8">
        <v>73</v>
      </c>
    </row>
    <row r="104" spans="1:31" ht="15.75" x14ac:dyDescent="0.25">
      <c r="A104" t="s">
        <v>28</v>
      </c>
      <c r="B104" t="s">
        <v>23</v>
      </c>
      <c r="C104" s="24" t="str">
        <f t="shared" ref="C104:C106" si="38">AC104</f>
        <v>Full metal door single leaf</v>
      </c>
      <c r="X104" t="str">
        <f t="shared" si="37"/>
        <v>24U800x1000Full metal door single leaf</v>
      </c>
      <c r="Z104" s="22">
        <f t="shared" ref="Z104:Z109" si="39">AE104</f>
        <v>26.502643274853806</v>
      </c>
      <c r="AA104" s="55">
        <f t="shared" si="24"/>
        <v>0</v>
      </c>
      <c r="AC104" s="36" t="s">
        <v>6</v>
      </c>
      <c r="AD104" s="9"/>
      <c r="AE104" s="8">
        <v>26.502643274853806</v>
      </c>
    </row>
    <row r="105" spans="1:31" ht="15.75" x14ac:dyDescent="0.25">
      <c r="A105" t="s">
        <v>28</v>
      </c>
      <c r="B105" t="s">
        <v>23</v>
      </c>
      <c r="C105" s="24" t="str">
        <f t="shared" si="38"/>
        <v>Metal-glass door single leaf</v>
      </c>
      <c r="X105" t="str">
        <f t="shared" si="37"/>
        <v>24U800x1000Metal-glass door single leaf</v>
      </c>
      <c r="Z105" s="22">
        <f t="shared" si="39"/>
        <v>35</v>
      </c>
      <c r="AA105" s="55">
        <f t="shared" si="24"/>
        <v>0</v>
      </c>
      <c r="AC105" s="23" t="s">
        <v>7</v>
      </c>
      <c r="AD105" s="9"/>
      <c r="AE105" s="8">
        <v>35</v>
      </c>
    </row>
    <row r="106" spans="1:31" ht="15.75" x14ac:dyDescent="0.25">
      <c r="A106" t="s">
        <v>28</v>
      </c>
      <c r="B106" t="s">
        <v>23</v>
      </c>
      <c r="C106" s="24" t="str">
        <f t="shared" si="38"/>
        <v>Back full metal panel</v>
      </c>
      <c r="X106" t="str">
        <f t="shared" si="37"/>
        <v>24U800x1000Back full metal panel</v>
      </c>
      <c r="Z106" s="22">
        <f t="shared" si="39"/>
        <v>13</v>
      </c>
      <c r="AA106" s="55">
        <f t="shared" si="24"/>
        <v>0</v>
      </c>
      <c r="AC106" s="23" t="s">
        <v>10</v>
      </c>
      <c r="AD106" s="9"/>
      <c r="AE106" s="8">
        <v>13</v>
      </c>
    </row>
    <row r="107" spans="1:31" ht="15.75" x14ac:dyDescent="0.25">
      <c r="A107" t="s">
        <v>28</v>
      </c>
      <c r="B107" t="s">
        <v>23</v>
      </c>
      <c r="C107" s="25" t="s">
        <v>38</v>
      </c>
      <c r="D107" s="54" t="str">
        <f t="shared" ref="D107:D108" si="40">AC107</f>
        <v xml:space="preserve">metal side panel full metal 1 pc </v>
      </c>
      <c r="Y107" t="str">
        <f>A107&amp;B107&amp;D107</f>
        <v xml:space="preserve">24U800x1000metal side panel full metal 1 pc </v>
      </c>
      <c r="Z107" s="22">
        <f t="shared" si="39"/>
        <v>17</v>
      </c>
      <c r="AA107" s="55">
        <f t="shared" si="24"/>
        <v>0</v>
      </c>
      <c r="AC107" s="23" t="s">
        <v>12</v>
      </c>
      <c r="AD107" s="9"/>
      <c r="AE107" s="8">
        <v>17</v>
      </c>
    </row>
    <row r="108" spans="1:31" ht="15.75" x14ac:dyDescent="0.25">
      <c r="A108" t="s">
        <v>28</v>
      </c>
      <c r="B108" t="s">
        <v>23</v>
      </c>
      <c r="C108" s="25" t="s">
        <v>38</v>
      </c>
      <c r="D108" s="54" t="str">
        <f t="shared" si="40"/>
        <v>metal side panel perforated 1 pc</v>
      </c>
      <c r="Y108" t="str">
        <f>A108&amp;B108&amp;D108</f>
        <v>24U800x1000metal side panel perforated 1 pc</v>
      </c>
      <c r="Z108" s="22">
        <f t="shared" si="39"/>
        <v>31</v>
      </c>
      <c r="AA108" s="55">
        <f t="shared" si="24"/>
        <v>0</v>
      </c>
      <c r="AC108" s="23" t="s">
        <v>13</v>
      </c>
      <c r="AD108" s="9"/>
      <c r="AE108" s="8">
        <v>31</v>
      </c>
    </row>
    <row r="109" spans="1:31" ht="15.75" x14ac:dyDescent="0.25">
      <c r="A109" t="s">
        <v>28</v>
      </c>
      <c r="B109" t="s">
        <v>23</v>
      </c>
      <c r="C109" s="25" t="s">
        <v>38</v>
      </c>
      <c r="Z109" s="56">
        <f t="shared" si="39"/>
        <v>7</v>
      </c>
      <c r="AA109" s="55">
        <f t="shared" si="24"/>
        <v>2</v>
      </c>
      <c r="AC109" s="23" t="s">
        <v>14</v>
      </c>
      <c r="AD109" s="9"/>
      <c r="AE109" s="8">
        <v>7</v>
      </c>
    </row>
    <row r="110" spans="1:31" ht="23.25" x14ac:dyDescent="0.25">
      <c r="A110" t="s">
        <v>29</v>
      </c>
      <c r="B110" t="s">
        <v>3</v>
      </c>
      <c r="C110" s="18" t="s">
        <v>38</v>
      </c>
      <c r="AA110" s="55">
        <f t="shared" si="24"/>
        <v>0</v>
      </c>
      <c r="AC110" s="26" t="s">
        <v>29</v>
      </c>
      <c r="AD110" s="26"/>
      <c r="AE110" s="26"/>
    </row>
    <row r="111" spans="1:31" ht="15.75" x14ac:dyDescent="0.25">
      <c r="A111" t="s">
        <v>29</v>
      </c>
      <c r="B111" t="s">
        <v>3</v>
      </c>
      <c r="C111" s="18" t="s">
        <v>38</v>
      </c>
      <c r="W111" s="18"/>
      <c r="X111" s="18"/>
      <c r="Y111" s="18"/>
      <c r="Z111" s="57"/>
      <c r="AA111" s="55">
        <f t="shared" si="24"/>
        <v>0</v>
      </c>
      <c r="AC111" s="4" t="s">
        <v>3</v>
      </c>
      <c r="AD111" s="5"/>
      <c r="AE111" s="6"/>
    </row>
    <row r="112" spans="1:31" ht="15.75" x14ac:dyDescent="0.25">
      <c r="A112" t="s">
        <v>29</v>
      </c>
      <c r="B112" t="s">
        <v>3</v>
      </c>
      <c r="C112" s="1" t="s">
        <v>38</v>
      </c>
      <c r="W112" t="str">
        <f>A112&amp;B112</f>
        <v>27U600x600</v>
      </c>
      <c r="Z112" s="56">
        <f>SUMPRODUCT(AA112:AA118,AE112:AE118)</f>
        <v>106.5</v>
      </c>
      <c r="AA112" s="55">
        <f t="shared" si="24"/>
        <v>1</v>
      </c>
      <c r="AC112" s="35" t="s">
        <v>4</v>
      </c>
      <c r="AD112" s="7"/>
      <c r="AE112" s="8">
        <v>89.5</v>
      </c>
    </row>
    <row r="113" spans="1:31" ht="15.75" x14ac:dyDescent="0.25">
      <c r="A113" t="s">
        <v>29</v>
      </c>
      <c r="B113" t="s">
        <v>3</v>
      </c>
      <c r="C113" s="24" t="str">
        <f>AC113</f>
        <v>Perforated door single leaf</v>
      </c>
      <c r="X113" t="str">
        <f t="shared" ref="X113:X116" si="41">A113&amp;B113&amp;C113</f>
        <v>27U600x600Perforated door single leaf</v>
      </c>
      <c r="Z113" s="22">
        <f>AE113</f>
        <v>0</v>
      </c>
      <c r="AA113" s="55">
        <f t="shared" si="24"/>
        <v>0</v>
      </c>
      <c r="AC113" s="36" t="s">
        <v>5</v>
      </c>
      <c r="AD113" s="9"/>
      <c r="AE113" s="31">
        <v>0</v>
      </c>
    </row>
    <row r="114" spans="1:31" ht="15.75" x14ac:dyDescent="0.25">
      <c r="A114" t="s">
        <v>29</v>
      </c>
      <c r="B114" t="s">
        <v>3</v>
      </c>
      <c r="C114" s="24" t="str">
        <f t="shared" ref="C114:C116" si="42">AC114</f>
        <v>Full metal door single leaf</v>
      </c>
      <c r="X114" t="str">
        <f t="shared" si="41"/>
        <v>27U600x600Full metal door single leaf</v>
      </c>
      <c r="Z114" s="22">
        <f t="shared" ref="Z114:Z118" si="43">AE114</f>
        <v>26.5</v>
      </c>
      <c r="AA114" s="55">
        <f t="shared" si="24"/>
        <v>0</v>
      </c>
      <c r="AC114" s="36" t="s">
        <v>6</v>
      </c>
      <c r="AD114" s="9"/>
      <c r="AE114" s="8">
        <v>26.5</v>
      </c>
    </row>
    <row r="115" spans="1:31" ht="15.75" x14ac:dyDescent="0.25">
      <c r="A115" t="s">
        <v>29</v>
      </c>
      <c r="B115" t="s">
        <v>3</v>
      </c>
      <c r="C115" s="24" t="str">
        <f t="shared" si="42"/>
        <v>Metal-glass door single leaf</v>
      </c>
      <c r="X115" t="str">
        <f t="shared" si="41"/>
        <v>27U600x600Metal-glass door single leaf</v>
      </c>
      <c r="Z115" s="22">
        <f t="shared" si="43"/>
        <v>34</v>
      </c>
      <c r="AA115" s="55">
        <f t="shared" si="24"/>
        <v>0</v>
      </c>
      <c r="AC115" s="23" t="s">
        <v>7</v>
      </c>
      <c r="AD115" s="9"/>
      <c r="AE115" s="8">
        <v>34</v>
      </c>
    </row>
    <row r="116" spans="1:31" ht="15.75" x14ac:dyDescent="0.25">
      <c r="A116" t="s">
        <v>29</v>
      </c>
      <c r="B116" t="s">
        <v>3</v>
      </c>
      <c r="C116" s="24" t="str">
        <f t="shared" si="42"/>
        <v>Back full metal panel</v>
      </c>
      <c r="X116" t="str">
        <f t="shared" si="41"/>
        <v>27U600x600Back full metal panel</v>
      </c>
      <c r="Z116" s="22">
        <f t="shared" si="43"/>
        <v>13</v>
      </c>
      <c r="AA116" s="55">
        <f t="shared" si="24"/>
        <v>0</v>
      </c>
      <c r="AC116" s="23" t="s">
        <v>10</v>
      </c>
      <c r="AD116" s="9"/>
      <c r="AE116" s="8">
        <v>13</v>
      </c>
    </row>
    <row r="117" spans="1:31" ht="15.75" x14ac:dyDescent="0.25">
      <c r="A117" t="s">
        <v>29</v>
      </c>
      <c r="B117" t="s">
        <v>3</v>
      </c>
      <c r="C117" s="25" t="s">
        <v>38</v>
      </c>
      <c r="D117" s="54" t="str">
        <f t="shared" ref="D117" si="44">AC117</f>
        <v xml:space="preserve">metal side panel full metal 1 pc </v>
      </c>
      <c r="Y117" t="str">
        <f>A117&amp;B117&amp;D117</f>
        <v xml:space="preserve">27U600x600metal side panel full metal 1 pc </v>
      </c>
      <c r="Z117" s="22">
        <f t="shared" si="43"/>
        <v>14</v>
      </c>
      <c r="AA117" s="55">
        <f t="shared" si="24"/>
        <v>0</v>
      </c>
      <c r="AC117" s="23" t="s">
        <v>12</v>
      </c>
      <c r="AD117" s="9"/>
      <c r="AE117" s="8">
        <v>14</v>
      </c>
    </row>
    <row r="118" spans="1:31" ht="15.75" x14ac:dyDescent="0.25">
      <c r="A118" t="s">
        <v>29</v>
      </c>
      <c r="B118" t="s">
        <v>3</v>
      </c>
      <c r="C118" s="25" t="s">
        <v>38</v>
      </c>
      <c r="Z118" s="56">
        <f t="shared" si="43"/>
        <v>8.5</v>
      </c>
      <c r="AA118" s="55">
        <f t="shared" si="24"/>
        <v>2</v>
      </c>
      <c r="AC118" s="23" t="s">
        <v>14</v>
      </c>
      <c r="AD118" s="9"/>
      <c r="AE118" s="8">
        <v>8.5</v>
      </c>
    </row>
    <row r="119" spans="1:31" ht="15.75" x14ac:dyDescent="0.25">
      <c r="A119" t="s">
        <v>29</v>
      </c>
      <c r="B119" t="s">
        <v>15</v>
      </c>
      <c r="C119" s="18" t="s">
        <v>38</v>
      </c>
      <c r="AA119" s="55">
        <f t="shared" si="24"/>
        <v>0</v>
      </c>
      <c r="AC119" s="4" t="s">
        <v>15</v>
      </c>
      <c r="AD119" s="5"/>
      <c r="AE119" s="6"/>
    </row>
    <row r="120" spans="1:31" ht="15.75" x14ac:dyDescent="0.25">
      <c r="A120" t="s">
        <v>29</v>
      </c>
      <c r="B120" t="s">
        <v>15</v>
      </c>
      <c r="C120" s="1" t="s">
        <v>38</v>
      </c>
      <c r="W120" t="str">
        <f>A120&amp;B120</f>
        <v>27U600x800</v>
      </c>
      <c r="Z120" s="56">
        <f>SUMPRODUCT(AA120:AA126,AE120:AE126)</f>
        <v>116.5</v>
      </c>
      <c r="AA120" s="55">
        <f t="shared" si="24"/>
        <v>1</v>
      </c>
      <c r="AC120" s="35" t="s">
        <v>4</v>
      </c>
      <c r="AD120" s="7"/>
      <c r="AE120" s="8">
        <v>99.5</v>
      </c>
    </row>
    <row r="121" spans="1:31" ht="15.75" x14ac:dyDescent="0.25">
      <c r="A121" t="s">
        <v>29</v>
      </c>
      <c r="B121" t="s">
        <v>15</v>
      </c>
      <c r="C121" s="24" t="str">
        <f>AC121</f>
        <v>Perforated door single leaf</v>
      </c>
      <c r="X121" t="str">
        <f t="shared" ref="X121:X124" si="45">A121&amp;B121&amp;C121</f>
        <v>27U600x800Perforated door single leaf</v>
      </c>
      <c r="Z121" s="22">
        <f>AE121</f>
        <v>0</v>
      </c>
      <c r="AA121" s="55">
        <f t="shared" si="24"/>
        <v>0</v>
      </c>
      <c r="AC121" s="36" t="s">
        <v>5</v>
      </c>
      <c r="AD121" s="9"/>
      <c r="AE121" s="31">
        <v>0</v>
      </c>
    </row>
    <row r="122" spans="1:31" ht="15.75" x14ac:dyDescent="0.25">
      <c r="A122" t="s">
        <v>29</v>
      </c>
      <c r="B122" t="s">
        <v>15</v>
      </c>
      <c r="C122" s="24" t="str">
        <f t="shared" ref="C122:C124" si="46">AC122</f>
        <v>Full metal door single leaf</v>
      </c>
      <c r="X122" t="str">
        <f t="shared" si="45"/>
        <v>27U600x800Full metal door single leaf</v>
      </c>
      <c r="Z122" s="22">
        <f t="shared" ref="Z122:Z126" si="47">AE122</f>
        <v>26.5</v>
      </c>
      <c r="AA122" s="55">
        <f t="shared" si="24"/>
        <v>0</v>
      </c>
      <c r="AC122" s="36" t="s">
        <v>6</v>
      </c>
      <c r="AD122" s="9"/>
      <c r="AE122" s="8">
        <v>26.5</v>
      </c>
    </row>
    <row r="123" spans="1:31" ht="15.75" x14ac:dyDescent="0.25">
      <c r="A123" t="s">
        <v>29</v>
      </c>
      <c r="B123" t="s">
        <v>15</v>
      </c>
      <c r="C123" s="24" t="str">
        <f t="shared" si="46"/>
        <v>Metal-glass door single leaf</v>
      </c>
      <c r="X123" t="str">
        <f t="shared" si="45"/>
        <v>27U600x800Metal-glass door single leaf</v>
      </c>
      <c r="Z123" s="22">
        <f t="shared" si="47"/>
        <v>34</v>
      </c>
      <c r="AA123" s="55">
        <f t="shared" si="24"/>
        <v>0</v>
      </c>
      <c r="AC123" s="23" t="s">
        <v>7</v>
      </c>
      <c r="AD123" s="9"/>
      <c r="AE123" s="8">
        <v>34</v>
      </c>
    </row>
    <row r="124" spans="1:31" ht="15.75" x14ac:dyDescent="0.25">
      <c r="A124" t="s">
        <v>29</v>
      </c>
      <c r="B124" t="s">
        <v>15</v>
      </c>
      <c r="C124" s="24" t="str">
        <f t="shared" si="46"/>
        <v>Back full metal panel</v>
      </c>
      <c r="X124" t="str">
        <f t="shared" si="45"/>
        <v>27U600x800Back full metal panel</v>
      </c>
      <c r="Z124" s="22">
        <f t="shared" si="47"/>
        <v>13</v>
      </c>
      <c r="AA124" s="55">
        <f t="shared" si="24"/>
        <v>0</v>
      </c>
      <c r="AC124" s="23" t="s">
        <v>10</v>
      </c>
      <c r="AD124" s="9"/>
      <c r="AE124" s="8">
        <v>13</v>
      </c>
    </row>
    <row r="125" spans="1:31" ht="15.75" x14ac:dyDescent="0.25">
      <c r="A125" t="s">
        <v>29</v>
      </c>
      <c r="B125" t="s">
        <v>15</v>
      </c>
      <c r="C125" s="25" t="s">
        <v>38</v>
      </c>
      <c r="D125" s="54" t="str">
        <f t="shared" ref="D125" si="48">AC125</f>
        <v xml:space="preserve">metal side panel full metal 1 pc </v>
      </c>
      <c r="Y125" t="str">
        <f>A125&amp;B125&amp;D125</f>
        <v xml:space="preserve">27U600x800metal side panel full metal 1 pc </v>
      </c>
      <c r="Z125" s="22">
        <f t="shared" si="47"/>
        <v>17</v>
      </c>
      <c r="AA125" s="55">
        <f t="shared" si="24"/>
        <v>0</v>
      </c>
      <c r="AC125" s="23" t="s">
        <v>12</v>
      </c>
      <c r="AD125" s="9"/>
      <c r="AE125" s="8">
        <v>17</v>
      </c>
    </row>
    <row r="126" spans="1:31" ht="15.75" x14ac:dyDescent="0.25">
      <c r="A126" t="s">
        <v>29</v>
      </c>
      <c r="B126" t="s">
        <v>15</v>
      </c>
      <c r="C126" s="25" t="s">
        <v>38</v>
      </c>
      <c r="Z126" s="56">
        <f t="shared" si="47"/>
        <v>8.5</v>
      </c>
      <c r="AA126" s="55">
        <f t="shared" si="24"/>
        <v>2</v>
      </c>
      <c r="AC126" s="23" t="s">
        <v>14</v>
      </c>
      <c r="AD126" s="9"/>
      <c r="AE126" s="8">
        <v>8.5</v>
      </c>
    </row>
    <row r="127" spans="1:31" ht="15.75" x14ac:dyDescent="0.25">
      <c r="A127" t="s">
        <v>29</v>
      </c>
      <c r="B127" t="s">
        <v>18</v>
      </c>
      <c r="C127" s="18" t="s">
        <v>38</v>
      </c>
      <c r="AA127" s="55">
        <f t="shared" si="24"/>
        <v>0</v>
      </c>
      <c r="AC127" s="4" t="s">
        <v>18</v>
      </c>
      <c r="AD127" s="5"/>
      <c r="AE127" s="6"/>
    </row>
    <row r="128" spans="1:31" ht="15.75" x14ac:dyDescent="0.25">
      <c r="A128" t="s">
        <v>29</v>
      </c>
      <c r="B128" t="s">
        <v>18</v>
      </c>
      <c r="C128" s="1" t="s">
        <v>38</v>
      </c>
      <c r="W128" t="str">
        <f>A128&amp;B128</f>
        <v>27U800x800</v>
      </c>
      <c r="Z128" s="56">
        <f>SUMPRODUCT(AA128:AA134,AE128:AE134)</f>
        <v>116</v>
      </c>
      <c r="AA128" s="55">
        <f t="shared" si="24"/>
        <v>1</v>
      </c>
      <c r="AC128" s="35" t="s">
        <v>4</v>
      </c>
      <c r="AD128" s="7"/>
      <c r="AE128" s="8">
        <v>99</v>
      </c>
    </row>
    <row r="129" spans="1:31" ht="15.75" x14ac:dyDescent="0.25">
      <c r="A129" t="s">
        <v>29</v>
      </c>
      <c r="B129" t="s">
        <v>18</v>
      </c>
      <c r="C129" s="24" t="str">
        <f>AC129</f>
        <v>Perforated door single leaf</v>
      </c>
      <c r="X129" t="str">
        <f t="shared" ref="X129:X132" si="49">A129&amp;B129&amp;C129</f>
        <v>27U800x800Perforated door single leaf</v>
      </c>
      <c r="Z129" s="22">
        <f>AE129</f>
        <v>0</v>
      </c>
      <c r="AA129" s="55">
        <f t="shared" si="24"/>
        <v>0</v>
      </c>
      <c r="AC129" s="36" t="s">
        <v>5</v>
      </c>
      <c r="AD129" s="9"/>
      <c r="AE129" s="31">
        <v>0</v>
      </c>
    </row>
    <row r="130" spans="1:31" ht="15.75" x14ac:dyDescent="0.25">
      <c r="A130" t="s">
        <v>29</v>
      </c>
      <c r="B130" t="s">
        <v>18</v>
      </c>
      <c r="C130" s="24" t="str">
        <f t="shared" ref="C130:C132" si="50">AC130</f>
        <v>Full metal door single leaf</v>
      </c>
      <c r="X130" t="str">
        <f t="shared" si="49"/>
        <v>27U800x800Full metal door single leaf</v>
      </c>
      <c r="Z130" s="22">
        <f t="shared" ref="Z130:Z134" si="51">AE130</f>
        <v>31</v>
      </c>
      <c r="AA130" s="55">
        <f t="shared" si="24"/>
        <v>0</v>
      </c>
      <c r="AC130" s="36" t="s">
        <v>6</v>
      </c>
      <c r="AD130" s="9"/>
      <c r="AE130" s="8">
        <v>31</v>
      </c>
    </row>
    <row r="131" spans="1:31" ht="15.75" x14ac:dyDescent="0.25">
      <c r="A131" t="s">
        <v>29</v>
      </c>
      <c r="B131" t="s">
        <v>18</v>
      </c>
      <c r="C131" s="24" t="str">
        <f t="shared" si="50"/>
        <v>Metal-glass door single leaf</v>
      </c>
      <c r="X131" t="str">
        <f t="shared" si="49"/>
        <v>27U800x800Metal-glass door single leaf</v>
      </c>
      <c r="Z131" s="22">
        <f t="shared" si="51"/>
        <v>44</v>
      </c>
      <c r="AA131" s="55">
        <f t="shared" si="24"/>
        <v>0</v>
      </c>
      <c r="AC131" s="23" t="s">
        <v>7</v>
      </c>
      <c r="AD131" s="9"/>
      <c r="AE131" s="8">
        <v>44</v>
      </c>
    </row>
    <row r="132" spans="1:31" ht="15.75" x14ac:dyDescent="0.25">
      <c r="A132" t="s">
        <v>29</v>
      </c>
      <c r="B132" t="s">
        <v>18</v>
      </c>
      <c r="C132" s="24" t="str">
        <f t="shared" si="50"/>
        <v>Back full metal panel</v>
      </c>
      <c r="X132" t="str">
        <f t="shared" si="49"/>
        <v>27U800x800Back full metal panel</v>
      </c>
      <c r="Z132" s="22">
        <f t="shared" si="51"/>
        <v>15.5</v>
      </c>
      <c r="AA132" s="55">
        <f t="shared" ref="AA132:AA195" si="52">IF(AC132="Frame",1,IF(LEFT(AC132,8)="Mounting",2,0))</f>
        <v>0</v>
      </c>
      <c r="AC132" s="23" t="s">
        <v>10</v>
      </c>
      <c r="AD132" s="9"/>
      <c r="AE132" s="8">
        <v>15.5</v>
      </c>
    </row>
    <row r="133" spans="1:31" ht="15.75" x14ac:dyDescent="0.25">
      <c r="A133" t="s">
        <v>29</v>
      </c>
      <c r="B133" t="s">
        <v>18</v>
      </c>
      <c r="C133" s="25" t="s">
        <v>38</v>
      </c>
      <c r="D133" s="54" t="str">
        <f t="shared" ref="D133" si="53">AC133</f>
        <v xml:space="preserve">metal side panel full metal 1 pc </v>
      </c>
      <c r="Y133" t="str">
        <f>A133&amp;B133&amp;D133</f>
        <v xml:space="preserve">27U800x800metal side panel full metal 1 pc </v>
      </c>
      <c r="Z133" s="22">
        <f t="shared" si="51"/>
        <v>17</v>
      </c>
      <c r="AA133" s="55">
        <f t="shared" si="52"/>
        <v>0</v>
      </c>
      <c r="AC133" s="23" t="s">
        <v>12</v>
      </c>
      <c r="AD133" s="9"/>
      <c r="AE133" s="8">
        <v>17</v>
      </c>
    </row>
    <row r="134" spans="1:31" ht="15.75" x14ac:dyDescent="0.25">
      <c r="A134" t="s">
        <v>29</v>
      </c>
      <c r="B134" t="s">
        <v>18</v>
      </c>
      <c r="C134" s="25" t="s">
        <v>38</v>
      </c>
      <c r="Z134" s="56">
        <f t="shared" si="51"/>
        <v>8.5</v>
      </c>
      <c r="AA134" s="55">
        <f t="shared" si="52"/>
        <v>2</v>
      </c>
      <c r="AC134" s="23" t="s">
        <v>14</v>
      </c>
      <c r="AD134" s="9"/>
      <c r="AE134" s="8">
        <v>8.5</v>
      </c>
    </row>
    <row r="135" spans="1:31" ht="23.25" x14ac:dyDescent="0.25">
      <c r="A135" t="s">
        <v>30</v>
      </c>
      <c r="C135" s="18" t="s">
        <v>38</v>
      </c>
      <c r="AA135" s="55">
        <f t="shared" si="52"/>
        <v>0</v>
      </c>
      <c r="AC135" s="26" t="s">
        <v>30</v>
      </c>
      <c r="AD135" s="26"/>
      <c r="AE135" s="26"/>
    </row>
    <row r="136" spans="1:31" ht="15.75" x14ac:dyDescent="0.25">
      <c r="A136" t="s">
        <v>30</v>
      </c>
      <c r="B136" t="s">
        <v>3</v>
      </c>
      <c r="C136" s="18" t="s">
        <v>38</v>
      </c>
      <c r="AA136" s="55">
        <f t="shared" si="52"/>
        <v>0</v>
      </c>
      <c r="AC136" s="4" t="s">
        <v>3</v>
      </c>
      <c r="AD136" s="5"/>
      <c r="AE136" s="6"/>
    </row>
    <row r="137" spans="1:31" ht="15.75" x14ac:dyDescent="0.25">
      <c r="A137" t="s">
        <v>30</v>
      </c>
      <c r="B137" t="s">
        <v>3</v>
      </c>
      <c r="C137" s="1" t="s">
        <v>38</v>
      </c>
      <c r="W137" t="str">
        <f>A137&amp;B137</f>
        <v>32U600x600</v>
      </c>
      <c r="Z137" s="56">
        <f>SUMPRODUCT(AA137:AA143,AE137:AE143)</f>
        <v>108.5</v>
      </c>
      <c r="AA137" s="55">
        <f t="shared" si="52"/>
        <v>1</v>
      </c>
      <c r="AC137" s="35" t="s">
        <v>4</v>
      </c>
      <c r="AD137" s="7"/>
      <c r="AE137" s="8">
        <v>91.5</v>
      </c>
    </row>
    <row r="138" spans="1:31" ht="15.75" x14ac:dyDescent="0.25">
      <c r="A138" t="s">
        <v>30</v>
      </c>
      <c r="B138" t="s">
        <v>3</v>
      </c>
      <c r="C138" s="24" t="str">
        <f>AC138</f>
        <v>Perforated door single leaf</v>
      </c>
      <c r="X138" t="str">
        <f t="shared" ref="X138:X141" si="54">A138&amp;B138&amp;C138</f>
        <v>32U600x600Perforated door single leaf</v>
      </c>
      <c r="Z138" s="22">
        <f>AE138</f>
        <v>76.5</v>
      </c>
      <c r="AA138" s="55">
        <f t="shared" si="52"/>
        <v>0</v>
      </c>
      <c r="AC138" s="36" t="s">
        <v>5</v>
      </c>
      <c r="AD138" s="9"/>
      <c r="AE138" s="8">
        <v>76.5</v>
      </c>
    </row>
    <row r="139" spans="1:31" ht="15.75" x14ac:dyDescent="0.25">
      <c r="A139" t="s">
        <v>30</v>
      </c>
      <c r="B139" t="s">
        <v>3</v>
      </c>
      <c r="C139" s="24" t="str">
        <f t="shared" ref="C139:C141" si="55">AC139</f>
        <v>Full metal door single leaf</v>
      </c>
      <c r="X139" t="str">
        <f t="shared" si="54"/>
        <v>32U600x600Full metal door single leaf</v>
      </c>
      <c r="Z139" s="22">
        <f t="shared" ref="Z139:Z143" si="56">AE139</f>
        <v>29.5</v>
      </c>
      <c r="AA139" s="55">
        <f t="shared" si="52"/>
        <v>0</v>
      </c>
      <c r="AC139" s="36" t="s">
        <v>6</v>
      </c>
      <c r="AD139" s="9"/>
      <c r="AE139" s="8">
        <v>29.5</v>
      </c>
    </row>
    <row r="140" spans="1:31" ht="15.75" x14ac:dyDescent="0.25">
      <c r="A140" t="s">
        <v>30</v>
      </c>
      <c r="B140" t="s">
        <v>3</v>
      </c>
      <c r="C140" s="24" t="str">
        <f t="shared" si="55"/>
        <v>Metal-glass door single leaf</v>
      </c>
      <c r="X140" t="str">
        <f t="shared" si="54"/>
        <v>32U600x600Metal-glass door single leaf</v>
      </c>
      <c r="Z140" s="22">
        <f t="shared" si="56"/>
        <v>36.5</v>
      </c>
      <c r="AA140" s="55">
        <f t="shared" si="52"/>
        <v>0</v>
      </c>
      <c r="AC140" s="23" t="s">
        <v>7</v>
      </c>
      <c r="AD140" s="9"/>
      <c r="AE140" s="8">
        <v>36.5</v>
      </c>
    </row>
    <row r="141" spans="1:31" ht="15.75" x14ac:dyDescent="0.25">
      <c r="A141" t="s">
        <v>30</v>
      </c>
      <c r="B141" t="s">
        <v>3</v>
      </c>
      <c r="C141" s="24" t="str">
        <f t="shared" si="55"/>
        <v>Back full metal panel</v>
      </c>
      <c r="X141" t="str">
        <f t="shared" si="54"/>
        <v>32U600x600Back full metal panel</v>
      </c>
      <c r="Z141" s="22">
        <f t="shared" si="56"/>
        <v>14.5</v>
      </c>
      <c r="AA141" s="55">
        <f t="shared" si="52"/>
        <v>0</v>
      </c>
      <c r="AC141" s="23" t="s">
        <v>10</v>
      </c>
      <c r="AD141" s="9"/>
      <c r="AE141" s="8">
        <v>14.5</v>
      </c>
    </row>
    <row r="142" spans="1:31" ht="15.75" x14ac:dyDescent="0.25">
      <c r="A142" t="s">
        <v>30</v>
      </c>
      <c r="B142" t="s">
        <v>3</v>
      </c>
      <c r="C142" s="25" t="s">
        <v>38</v>
      </c>
      <c r="D142" s="54" t="str">
        <f t="shared" ref="D142" si="57">AC142</f>
        <v xml:space="preserve">metal side panel full metal 1 pc </v>
      </c>
      <c r="Y142" t="str">
        <f>A142&amp;B142&amp;D142</f>
        <v xml:space="preserve">32U600x600metal side panel full metal 1 pc </v>
      </c>
      <c r="Z142" s="22">
        <f t="shared" si="56"/>
        <v>15.5</v>
      </c>
      <c r="AA142" s="55">
        <f t="shared" si="52"/>
        <v>0</v>
      </c>
      <c r="AC142" s="23" t="s">
        <v>12</v>
      </c>
      <c r="AD142" s="9"/>
      <c r="AE142" s="8">
        <v>15.5</v>
      </c>
    </row>
    <row r="143" spans="1:31" ht="15.75" x14ac:dyDescent="0.25">
      <c r="A143" t="s">
        <v>30</v>
      </c>
      <c r="B143" t="s">
        <v>3</v>
      </c>
      <c r="C143" s="25" t="s">
        <v>38</v>
      </c>
      <c r="Z143" s="56">
        <f t="shared" si="56"/>
        <v>8.5</v>
      </c>
      <c r="AA143" s="55">
        <f t="shared" si="52"/>
        <v>2</v>
      </c>
      <c r="AC143" s="23" t="s">
        <v>14</v>
      </c>
      <c r="AD143" s="9"/>
      <c r="AE143" s="8">
        <v>8.5</v>
      </c>
    </row>
    <row r="144" spans="1:31" ht="15.75" x14ac:dyDescent="0.25">
      <c r="A144" t="s">
        <v>30</v>
      </c>
      <c r="B144" t="s">
        <v>15</v>
      </c>
      <c r="C144" s="18" t="s">
        <v>38</v>
      </c>
      <c r="AA144" s="55">
        <f t="shared" si="52"/>
        <v>0</v>
      </c>
      <c r="AC144" s="4" t="s">
        <v>15</v>
      </c>
      <c r="AD144" s="5"/>
      <c r="AE144" s="6"/>
    </row>
    <row r="145" spans="1:31" ht="15.75" x14ac:dyDescent="0.25">
      <c r="A145" t="s">
        <v>30</v>
      </c>
      <c r="B145" t="s">
        <v>15</v>
      </c>
      <c r="C145" s="1" t="s">
        <v>38</v>
      </c>
      <c r="W145" t="str">
        <f>A145&amp;B145</f>
        <v>32U600x800</v>
      </c>
      <c r="Z145" s="56">
        <f>SUMPRODUCT(AA145:AA151,AE145:AE151)</f>
        <v>120.5</v>
      </c>
      <c r="AA145" s="55">
        <f t="shared" si="52"/>
        <v>1</v>
      </c>
      <c r="AC145" s="35" t="s">
        <v>4</v>
      </c>
      <c r="AD145" s="7"/>
      <c r="AE145" s="8">
        <v>103.5</v>
      </c>
    </row>
    <row r="146" spans="1:31" ht="15.75" x14ac:dyDescent="0.25">
      <c r="A146" t="s">
        <v>30</v>
      </c>
      <c r="B146" t="s">
        <v>15</v>
      </c>
      <c r="C146" s="24" t="str">
        <f>AC146</f>
        <v>Perforated door single leaf</v>
      </c>
      <c r="X146" t="str">
        <f t="shared" ref="X146:X149" si="58">A146&amp;B146&amp;C146</f>
        <v>32U600x800Perforated door single leaf</v>
      </c>
      <c r="Z146" s="22">
        <f>AE146</f>
        <v>76.5</v>
      </c>
      <c r="AA146" s="55">
        <f t="shared" si="52"/>
        <v>0</v>
      </c>
      <c r="AC146" s="36" t="s">
        <v>5</v>
      </c>
      <c r="AD146" s="9"/>
      <c r="AE146" s="8">
        <v>76.5</v>
      </c>
    </row>
    <row r="147" spans="1:31" ht="15.75" x14ac:dyDescent="0.25">
      <c r="A147" t="s">
        <v>30</v>
      </c>
      <c r="B147" t="s">
        <v>15</v>
      </c>
      <c r="C147" s="24" t="str">
        <f t="shared" ref="C147:C149" si="59">AC147</f>
        <v>Full metal door single leaf</v>
      </c>
      <c r="X147" t="str">
        <f t="shared" si="58"/>
        <v>32U600x800Full metal door single leaf</v>
      </c>
      <c r="Z147" s="22">
        <f t="shared" ref="Z147:Z151" si="60">AE147</f>
        <v>29.5</v>
      </c>
      <c r="AA147" s="55">
        <f t="shared" si="52"/>
        <v>0</v>
      </c>
      <c r="AC147" s="36" t="s">
        <v>6</v>
      </c>
      <c r="AD147" s="9"/>
      <c r="AE147" s="8">
        <v>29.5</v>
      </c>
    </row>
    <row r="148" spans="1:31" ht="15.75" x14ac:dyDescent="0.25">
      <c r="A148" t="s">
        <v>30</v>
      </c>
      <c r="B148" t="s">
        <v>15</v>
      </c>
      <c r="C148" s="24" t="str">
        <f t="shared" si="59"/>
        <v>Metal-glass door single leaf</v>
      </c>
      <c r="X148" t="str">
        <f t="shared" si="58"/>
        <v>32U600x800Metal-glass door single leaf</v>
      </c>
      <c r="Z148" s="22">
        <f t="shared" si="60"/>
        <v>36.5</v>
      </c>
      <c r="AA148" s="55">
        <f t="shared" si="52"/>
        <v>0</v>
      </c>
      <c r="AC148" s="23" t="s">
        <v>7</v>
      </c>
      <c r="AD148" s="9"/>
      <c r="AE148" s="8">
        <v>36.5</v>
      </c>
    </row>
    <row r="149" spans="1:31" ht="15.75" x14ac:dyDescent="0.25">
      <c r="A149" t="s">
        <v>30</v>
      </c>
      <c r="B149" t="s">
        <v>15</v>
      </c>
      <c r="C149" s="24" t="str">
        <f t="shared" si="59"/>
        <v>Back full metal panel</v>
      </c>
      <c r="X149" t="str">
        <f t="shared" si="58"/>
        <v>32U600x800Back full metal panel</v>
      </c>
      <c r="Z149" s="22">
        <f t="shared" si="60"/>
        <v>14.5</v>
      </c>
      <c r="AA149" s="55">
        <f t="shared" si="52"/>
        <v>0</v>
      </c>
      <c r="AC149" s="23" t="s">
        <v>10</v>
      </c>
      <c r="AD149" s="9"/>
      <c r="AE149" s="8">
        <v>14.5</v>
      </c>
    </row>
    <row r="150" spans="1:31" ht="15.75" x14ac:dyDescent="0.25">
      <c r="A150" t="s">
        <v>30</v>
      </c>
      <c r="B150" t="s">
        <v>15</v>
      </c>
      <c r="C150" s="25" t="s">
        <v>38</v>
      </c>
      <c r="D150" s="54" t="str">
        <f t="shared" ref="D150" si="61">AC150</f>
        <v xml:space="preserve">metal side panel full metal 1 pc </v>
      </c>
      <c r="Y150" t="str">
        <f>A150&amp;B150&amp;D150</f>
        <v xml:space="preserve">32U600x800metal side panel full metal 1 pc </v>
      </c>
      <c r="Z150" s="22">
        <f t="shared" si="60"/>
        <v>19</v>
      </c>
      <c r="AA150" s="55">
        <f t="shared" si="52"/>
        <v>0</v>
      </c>
      <c r="AC150" s="23" t="s">
        <v>12</v>
      </c>
      <c r="AD150" s="9"/>
      <c r="AE150" s="8">
        <v>19</v>
      </c>
    </row>
    <row r="151" spans="1:31" ht="15.75" x14ac:dyDescent="0.25">
      <c r="A151" t="s">
        <v>30</v>
      </c>
      <c r="B151" t="s">
        <v>15</v>
      </c>
      <c r="C151" s="25" t="s">
        <v>38</v>
      </c>
      <c r="Z151" s="56">
        <f t="shared" si="60"/>
        <v>8.5</v>
      </c>
      <c r="AA151" s="55">
        <f t="shared" si="52"/>
        <v>2</v>
      </c>
      <c r="AC151" s="23" t="s">
        <v>14</v>
      </c>
      <c r="AD151" s="9"/>
      <c r="AE151" s="8">
        <v>8.5</v>
      </c>
    </row>
    <row r="152" spans="1:31" ht="15.75" x14ac:dyDescent="0.25">
      <c r="A152" t="s">
        <v>30</v>
      </c>
      <c r="B152" t="s">
        <v>17</v>
      </c>
      <c r="C152" s="18" t="s">
        <v>38</v>
      </c>
      <c r="AA152" s="55">
        <f t="shared" si="52"/>
        <v>0</v>
      </c>
      <c r="AC152" s="4" t="s">
        <v>17</v>
      </c>
      <c r="AD152" s="5"/>
      <c r="AE152" s="6"/>
    </row>
    <row r="153" spans="1:31" ht="15.75" x14ac:dyDescent="0.25">
      <c r="A153" t="s">
        <v>30</v>
      </c>
      <c r="B153" t="s">
        <v>17</v>
      </c>
      <c r="C153" s="1" t="s">
        <v>38</v>
      </c>
      <c r="W153" t="str">
        <f>A153&amp;B153</f>
        <v>32U600x900</v>
      </c>
      <c r="Z153" s="56">
        <f>SUMPRODUCT(AA153:AA159,AE153:AE159)</f>
        <v>124</v>
      </c>
      <c r="AA153" s="55">
        <f t="shared" si="52"/>
        <v>1</v>
      </c>
      <c r="AC153" s="35" t="s">
        <v>4</v>
      </c>
      <c r="AD153" s="7"/>
      <c r="AE153" s="8">
        <v>107</v>
      </c>
    </row>
    <row r="154" spans="1:31" ht="15.75" x14ac:dyDescent="0.25">
      <c r="A154" t="s">
        <v>30</v>
      </c>
      <c r="B154" t="s">
        <v>17</v>
      </c>
      <c r="C154" s="24" t="str">
        <f>AC154</f>
        <v>Perforated door single leaf</v>
      </c>
      <c r="X154" t="str">
        <f t="shared" ref="X154:X157" si="62">A154&amp;B154&amp;C154</f>
        <v>32U600x900Perforated door single leaf</v>
      </c>
      <c r="Z154" s="22">
        <f>AE154</f>
        <v>76.5</v>
      </c>
      <c r="AA154" s="55">
        <f t="shared" si="52"/>
        <v>0</v>
      </c>
      <c r="AC154" s="36" t="s">
        <v>5</v>
      </c>
      <c r="AD154" s="9"/>
      <c r="AE154" s="8">
        <v>76.5</v>
      </c>
    </row>
    <row r="155" spans="1:31" ht="15.75" x14ac:dyDescent="0.25">
      <c r="A155" t="s">
        <v>30</v>
      </c>
      <c r="B155" t="s">
        <v>17</v>
      </c>
      <c r="C155" s="24" t="str">
        <f t="shared" ref="C155:C157" si="63">AC155</f>
        <v>Full metal door single leaf</v>
      </c>
      <c r="X155" t="str">
        <f t="shared" si="62"/>
        <v>32U600x900Full metal door single leaf</v>
      </c>
      <c r="Z155" s="22">
        <f t="shared" ref="Z155:Z159" si="64">AE155</f>
        <v>29.5</v>
      </c>
      <c r="AA155" s="55">
        <f t="shared" si="52"/>
        <v>0</v>
      </c>
      <c r="AC155" s="36" t="s">
        <v>6</v>
      </c>
      <c r="AD155" s="9"/>
      <c r="AE155" s="8">
        <v>29.5</v>
      </c>
    </row>
    <row r="156" spans="1:31" ht="15.75" x14ac:dyDescent="0.25">
      <c r="A156" t="s">
        <v>30</v>
      </c>
      <c r="B156" t="s">
        <v>17</v>
      </c>
      <c r="C156" s="24" t="str">
        <f t="shared" si="63"/>
        <v>Metal-glass door single leaf</v>
      </c>
      <c r="X156" t="str">
        <f t="shared" si="62"/>
        <v>32U600x900Metal-glass door single leaf</v>
      </c>
      <c r="Z156" s="22">
        <f t="shared" si="64"/>
        <v>36.5</v>
      </c>
      <c r="AA156" s="55">
        <f t="shared" si="52"/>
        <v>0</v>
      </c>
      <c r="AC156" s="23" t="s">
        <v>7</v>
      </c>
      <c r="AD156" s="9"/>
      <c r="AE156" s="8">
        <v>36.5</v>
      </c>
    </row>
    <row r="157" spans="1:31" ht="15.75" x14ac:dyDescent="0.25">
      <c r="A157" t="s">
        <v>30</v>
      </c>
      <c r="B157" t="s">
        <v>17</v>
      </c>
      <c r="C157" s="24" t="str">
        <f t="shared" si="63"/>
        <v>Back full metal panel</v>
      </c>
      <c r="X157" t="str">
        <f t="shared" si="62"/>
        <v>32U600x900Back full metal panel</v>
      </c>
      <c r="Z157" s="22">
        <f t="shared" si="64"/>
        <v>14.5</v>
      </c>
      <c r="AA157" s="55">
        <f t="shared" si="52"/>
        <v>0</v>
      </c>
      <c r="AC157" s="23" t="s">
        <v>10</v>
      </c>
      <c r="AD157" s="9"/>
      <c r="AE157" s="8">
        <v>14.5</v>
      </c>
    </row>
    <row r="158" spans="1:31" ht="15.75" x14ac:dyDescent="0.25">
      <c r="A158" t="s">
        <v>30</v>
      </c>
      <c r="B158" t="s">
        <v>17</v>
      </c>
      <c r="C158" s="25" t="s">
        <v>38</v>
      </c>
      <c r="D158" s="54" t="str">
        <f t="shared" ref="D158" si="65">AC158</f>
        <v xml:space="preserve">metal side panel full metal 1 pc </v>
      </c>
      <c r="Y158" t="str">
        <f>A158&amp;B158&amp;D158</f>
        <v xml:space="preserve">32U600x900metal side panel full metal 1 pc </v>
      </c>
      <c r="Z158" s="22">
        <f t="shared" si="64"/>
        <v>23</v>
      </c>
      <c r="AA158" s="55">
        <f t="shared" si="52"/>
        <v>0</v>
      </c>
      <c r="AC158" s="23" t="s">
        <v>12</v>
      </c>
      <c r="AD158" s="9"/>
      <c r="AE158" s="8">
        <v>23</v>
      </c>
    </row>
    <row r="159" spans="1:31" ht="15.75" x14ac:dyDescent="0.25">
      <c r="A159" t="s">
        <v>30</v>
      </c>
      <c r="B159" t="s">
        <v>17</v>
      </c>
      <c r="C159" s="25" t="s">
        <v>38</v>
      </c>
      <c r="Z159" s="56">
        <f t="shared" si="64"/>
        <v>8.5</v>
      </c>
      <c r="AA159" s="55">
        <f t="shared" si="52"/>
        <v>2</v>
      </c>
      <c r="AC159" s="23" t="s">
        <v>14</v>
      </c>
      <c r="AD159" s="9"/>
      <c r="AE159" s="8">
        <v>8.5</v>
      </c>
    </row>
    <row r="160" spans="1:31" ht="15.75" x14ac:dyDescent="0.25">
      <c r="A160" t="s">
        <v>30</v>
      </c>
      <c r="B160" t="s">
        <v>18</v>
      </c>
      <c r="C160" s="18" t="s">
        <v>38</v>
      </c>
      <c r="AA160" s="55">
        <f t="shared" si="52"/>
        <v>0</v>
      </c>
      <c r="AC160" s="4" t="s">
        <v>18</v>
      </c>
      <c r="AD160" s="5"/>
      <c r="AE160" s="6"/>
    </row>
    <row r="161" spans="1:31" ht="15.75" x14ac:dyDescent="0.25">
      <c r="A161" t="s">
        <v>30</v>
      </c>
      <c r="B161" t="s">
        <v>18</v>
      </c>
      <c r="C161" s="1" t="s">
        <v>38</v>
      </c>
      <c r="W161" t="str">
        <f>A161&amp;B161</f>
        <v>32U800x800</v>
      </c>
      <c r="Z161" s="56">
        <f>SUMPRODUCT(AA161:AA167,AE161:AE167)</f>
        <v>126</v>
      </c>
      <c r="AA161" s="55">
        <f t="shared" si="52"/>
        <v>1</v>
      </c>
      <c r="AC161" s="35" t="s">
        <v>4</v>
      </c>
      <c r="AD161" s="7"/>
      <c r="AE161" s="8">
        <v>109</v>
      </c>
    </row>
    <row r="162" spans="1:31" ht="15.75" x14ac:dyDescent="0.25">
      <c r="A162" t="s">
        <v>30</v>
      </c>
      <c r="B162" t="s">
        <v>18</v>
      </c>
      <c r="C162" s="24" t="str">
        <f>AC162</f>
        <v>Perforated door single leaf</v>
      </c>
      <c r="X162" t="str">
        <f t="shared" ref="X162:X165" si="66">A162&amp;B162&amp;C162</f>
        <v>32U800x800Perforated door single leaf</v>
      </c>
      <c r="Z162" s="22">
        <f>AE162</f>
        <v>0</v>
      </c>
      <c r="AA162" s="55">
        <f t="shared" si="52"/>
        <v>0</v>
      </c>
      <c r="AC162" s="36" t="s">
        <v>5</v>
      </c>
      <c r="AD162" s="9"/>
      <c r="AE162" s="31">
        <v>0</v>
      </c>
    </row>
    <row r="163" spans="1:31" ht="15.75" x14ac:dyDescent="0.25">
      <c r="A163" t="s">
        <v>30</v>
      </c>
      <c r="B163" t="s">
        <v>18</v>
      </c>
      <c r="C163" s="24" t="str">
        <f t="shared" ref="C163:C165" si="67">AC163</f>
        <v>Full metal door single leaf</v>
      </c>
      <c r="X163" t="str">
        <f t="shared" si="66"/>
        <v>32U800x800Full metal door single leaf</v>
      </c>
      <c r="Z163" s="22">
        <f t="shared" ref="Z163:Z167" si="68">AE163</f>
        <v>34.5</v>
      </c>
      <c r="AA163" s="55">
        <f t="shared" si="52"/>
        <v>0</v>
      </c>
      <c r="AC163" s="36" t="s">
        <v>6</v>
      </c>
      <c r="AD163" s="9"/>
      <c r="AE163" s="8">
        <v>34.5</v>
      </c>
    </row>
    <row r="164" spans="1:31" ht="15.75" x14ac:dyDescent="0.25">
      <c r="A164" t="s">
        <v>30</v>
      </c>
      <c r="B164" t="s">
        <v>18</v>
      </c>
      <c r="C164" s="24" t="str">
        <f t="shared" si="67"/>
        <v>Metal-glass door single leaf</v>
      </c>
      <c r="X164" t="str">
        <f t="shared" si="66"/>
        <v>32U800x800Metal-glass door single leaf</v>
      </c>
      <c r="Z164" s="22">
        <f t="shared" si="68"/>
        <v>42</v>
      </c>
      <c r="AA164" s="55">
        <f t="shared" si="52"/>
        <v>0</v>
      </c>
      <c r="AC164" s="23" t="s">
        <v>7</v>
      </c>
      <c r="AD164" s="9"/>
      <c r="AE164" s="8">
        <v>42</v>
      </c>
    </row>
    <row r="165" spans="1:31" ht="15.75" x14ac:dyDescent="0.25">
      <c r="A165" t="s">
        <v>30</v>
      </c>
      <c r="B165" t="s">
        <v>18</v>
      </c>
      <c r="C165" s="24" t="str">
        <f t="shared" si="67"/>
        <v>Back full metal panel</v>
      </c>
      <c r="X165" t="str">
        <f t="shared" si="66"/>
        <v>32U800x800Back full metal panel</v>
      </c>
      <c r="Z165" s="22">
        <f t="shared" si="68"/>
        <v>17.5</v>
      </c>
      <c r="AA165" s="55">
        <f t="shared" si="52"/>
        <v>0</v>
      </c>
      <c r="AC165" s="23" t="s">
        <v>10</v>
      </c>
      <c r="AD165" s="9"/>
      <c r="AE165" s="8">
        <v>17.5</v>
      </c>
    </row>
    <row r="166" spans="1:31" ht="15.75" x14ac:dyDescent="0.25">
      <c r="A166" t="s">
        <v>30</v>
      </c>
      <c r="B166" t="s">
        <v>18</v>
      </c>
      <c r="C166" s="25" t="s">
        <v>38</v>
      </c>
      <c r="D166" s="54" t="str">
        <f t="shared" ref="D166" si="69">AC166</f>
        <v xml:space="preserve">metal side panel full metal 1 pc </v>
      </c>
      <c r="Y166" t="str">
        <f>A166&amp;B166&amp;D166</f>
        <v xml:space="preserve">32U800x800metal side panel full metal 1 pc </v>
      </c>
      <c r="Z166" s="22">
        <f t="shared" si="68"/>
        <v>19</v>
      </c>
      <c r="AA166" s="55">
        <f t="shared" si="52"/>
        <v>0</v>
      </c>
      <c r="AC166" s="23" t="s">
        <v>12</v>
      </c>
      <c r="AD166" s="9"/>
      <c r="AE166" s="8">
        <v>19</v>
      </c>
    </row>
    <row r="167" spans="1:31" ht="15.75" x14ac:dyDescent="0.25">
      <c r="A167" t="s">
        <v>30</v>
      </c>
      <c r="B167" t="s">
        <v>18</v>
      </c>
      <c r="C167" s="25" t="s">
        <v>38</v>
      </c>
      <c r="Z167" s="56">
        <f t="shared" si="68"/>
        <v>8.5</v>
      </c>
      <c r="AA167" s="55">
        <f t="shared" si="52"/>
        <v>2</v>
      </c>
      <c r="AC167" s="23" t="s">
        <v>14</v>
      </c>
      <c r="AD167" s="9"/>
      <c r="AE167" s="8">
        <v>8.5</v>
      </c>
    </row>
    <row r="168" spans="1:31" ht="15.75" x14ac:dyDescent="0.25">
      <c r="A168" t="s">
        <v>30</v>
      </c>
      <c r="B168" t="s">
        <v>47</v>
      </c>
      <c r="C168" s="18" t="s">
        <v>38</v>
      </c>
      <c r="AA168" s="55">
        <f t="shared" si="52"/>
        <v>0</v>
      </c>
      <c r="AC168" s="4" t="s">
        <v>47</v>
      </c>
      <c r="AD168" s="5"/>
      <c r="AE168" s="6"/>
    </row>
    <row r="169" spans="1:31" ht="15.75" x14ac:dyDescent="0.25">
      <c r="A169" t="s">
        <v>30</v>
      </c>
      <c r="B169" t="s">
        <v>47</v>
      </c>
      <c r="C169" s="1" t="s">
        <v>38</v>
      </c>
      <c r="W169" t="str">
        <f>A169&amp;B169</f>
        <v>32U800x900</v>
      </c>
      <c r="Z169" s="56">
        <f>SUMPRODUCT(AA169:AA175,AE169:AE175)</f>
        <v>129</v>
      </c>
      <c r="AA169" s="55">
        <f t="shared" si="52"/>
        <v>1</v>
      </c>
      <c r="AC169" s="35" t="s">
        <v>4</v>
      </c>
      <c r="AD169" s="7"/>
      <c r="AE169" s="8">
        <v>112</v>
      </c>
    </row>
    <row r="170" spans="1:31" ht="15.75" x14ac:dyDescent="0.25">
      <c r="A170" t="s">
        <v>30</v>
      </c>
      <c r="B170" t="s">
        <v>47</v>
      </c>
      <c r="C170" s="24" t="str">
        <f>AC170</f>
        <v>Perforated door single leaf</v>
      </c>
      <c r="X170" t="str">
        <f t="shared" ref="X170:X173" si="70">A170&amp;B170&amp;C170</f>
        <v>32U800x900Perforated door single leaf</v>
      </c>
      <c r="Z170" s="22">
        <f>AE170</f>
        <v>0</v>
      </c>
      <c r="AA170" s="55">
        <f t="shared" si="52"/>
        <v>0</v>
      </c>
      <c r="AC170" s="36" t="s">
        <v>5</v>
      </c>
      <c r="AD170" s="9"/>
      <c r="AE170" s="31">
        <v>0</v>
      </c>
    </row>
    <row r="171" spans="1:31" ht="15.75" x14ac:dyDescent="0.25">
      <c r="A171" t="s">
        <v>30</v>
      </c>
      <c r="B171" t="s">
        <v>47</v>
      </c>
      <c r="C171" s="24" t="str">
        <f t="shared" ref="C171:C173" si="71">AC171</f>
        <v>Full metal door single leaf</v>
      </c>
      <c r="X171" t="str">
        <f t="shared" si="70"/>
        <v>32U800x900Full metal door single leaf</v>
      </c>
      <c r="Z171" s="22">
        <f t="shared" ref="Z171:Z175" si="72">AE171</f>
        <v>34.5</v>
      </c>
      <c r="AA171" s="55">
        <f t="shared" si="52"/>
        <v>0</v>
      </c>
      <c r="AC171" s="36" t="s">
        <v>6</v>
      </c>
      <c r="AD171" s="9"/>
      <c r="AE171" s="8">
        <v>34.5</v>
      </c>
    </row>
    <row r="172" spans="1:31" ht="15.75" x14ac:dyDescent="0.25">
      <c r="A172" t="s">
        <v>30</v>
      </c>
      <c r="B172" t="s">
        <v>47</v>
      </c>
      <c r="C172" s="24" t="str">
        <f t="shared" si="71"/>
        <v>Metal-glass door single leaf</v>
      </c>
      <c r="X172" t="str">
        <f t="shared" si="70"/>
        <v>32U800x900Metal-glass door single leaf</v>
      </c>
      <c r="Z172" s="22">
        <f t="shared" si="72"/>
        <v>42</v>
      </c>
      <c r="AA172" s="55">
        <f t="shared" si="52"/>
        <v>0</v>
      </c>
      <c r="AC172" s="23" t="s">
        <v>7</v>
      </c>
      <c r="AD172" s="9"/>
      <c r="AE172" s="8">
        <v>42</v>
      </c>
    </row>
    <row r="173" spans="1:31" ht="15.75" x14ac:dyDescent="0.25">
      <c r="A173" t="s">
        <v>30</v>
      </c>
      <c r="B173" t="s">
        <v>47</v>
      </c>
      <c r="C173" s="24" t="str">
        <f t="shared" si="71"/>
        <v>Back full metal panel</v>
      </c>
      <c r="X173" t="str">
        <f t="shared" si="70"/>
        <v>32U800x900Back full metal panel</v>
      </c>
      <c r="Z173" s="22">
        <f t="shared" si="72"/>
        <v>17.5</v>
      </c>
      <c r="AA173" s="55">
        <f t="shared" si="52"/>
        <v>0</v>
      </c>
      <c r="AC173" s="23" t="s">
        <v>10</v>
      </c>
      <c r="AD173" s="9"/>
      <c r="AE173" s="8">
        <v>17.5</v>
      </c>
    </row>
    <row r="174" spans="1:31" ht="15.75" x14ac:dyDescent="0.25">
      <c r="A174" t="s">
        <v>30</v>
      </c>
      <c r="B174" t="s">
        <v>47</v>
      </c>
      <c r="C174" s="25" t="s">
        <v>38</v>
      </c>
      <c r="D174" s="54" t="str">
        <f t="shared" ref="D174" si="73">AC174</f>
        <v xml:space="preserve">metal side panel full metal 1 pc </v>
      </c>
      <c r="Y174" t="str">
        <f>A174&amp;B174&amp;D174</f>
        <v xml:space="preserve">32U800x900metal side panel full metal 1 pc </v>
      </c>
      <c r="Z174" s="22">
        <f t="shared" si="72"/>
        <v>23</v>
      </c>
      <c r="AA174" s="55">
        <f t="shared" si="52"/>
        <v>0</v>
      </c>
      <c r="AC174" s="23" t="s">
        <v>12</v>
      </c>
      <c r="AD174" s="9"/>
      <c r="AE174" s="8">
        <v>23</v>
      </c>
    </row>
    <row r="175" spans="1:31" ht="15.75" x14ac:dyDescent="0.25">
      <c r="A175" t="s">
        <v>30</v>
      </c>
      <c r="B175" t="s">
        <v>47</v>
      </c>
      <c r="C175" s="25" t="s">
        <v>38</v>
      </c>
      <c r="Z175" s="56">
        <f t="shared" si="72"/>
        <v>8.5</v>
      </c>
      <c r="AA175" s="55">
        <f t="shared" si="52"/>
        <v>2</v>
      </c>
      <c r="AC175" s="23" t="s">
        <v>14</v>
      </c>
      <c r="AD175" s="9"/>
      <c r="AE175" s="8">
        <v>8.5</v>
      </c>
    </row>
    <row r="176" spans="1:31" ht="23.25" x14ac:dyDescent="0.25">
      <c r="A176" t="s">
        <v>2</v>
      </c>
      <c r="C176" s="18" t="s">
        <v>38</v>
      </c>
      <c r="AA176" s="55">
        <f t="shared" si="52"/>
        <v>0</v>
      </c>
      <c r="AC176" s="3" t="s">
        <v>2</v>
      </c>
      <c r="AD176" s="3"/>
      <c r="AE176" s="3"/>
    </row>
    <row r="177" spans="1:31" ht="15.75" x14ac:dyDescent="0.25">
      <c r="A177" t="s">
        <v>2</v>
      </c>
      <c r="B177" t="s">
        <v>3</v>
      </c>
      <c r="C177" s="18" t="s">
        <v>38</v>
      </c>
      <c r="AA177" s="55">
        <f t="shared" si="52"/>
        <v>0</v>
      </c>
      <c r="AC177" s="4" t="s">
        <v>3</v>
      </c>
      <c r="AD177" s="5"/>
      <c r="AE177" s="6"/>
    </row>
    <row r="178" spans="1:31" ht="15.75" x14ac:dyDescent="0.25">
      <c r="A178" t="s">
        <v>2</v>
      </c>
      <c r="B178" t="s">
        <v>3</v>
      </c>
      <c r="C178" s="1" t="s">
        <v>38</v>
      </c>
      <c r="W178" t="str">
        <f>A178&amp;B178</f>
        <v>42U600x600</v>
      </c>
      <c r="Z178" s="56">
        <f>SUMPRODUCT(AA178:AA188,AE178:AE188)</f>
        <v>118</v>
      </c>
      <c r="AA178" s="55">
        <f t="shared" si="52"/>
        <v>1</v>
      </c>
      <c r="AC178" s="35" t="s">
        <v>4</v>
      </c>
      <c r="AD178" s="7"/>
      <c r="AE178" s="8">
        <v>97</v>
      </c>
    </row>
    <row r="179" spans="1:31" ht="15.75" x14ac:dyDescent="0.25">
      <c r="A179" t="s">
        <v>2</v>
      </c>
      <c r="B179" t="s">
        <v>3</v>
      </c>
      <c r="C179" s="24" t="str">
        <f>AC179</f>
        <v>Perforated door single leaf</v>
      </c>
      <c r="X179" t="str">
        <f t="shared" ref="X179:X185" si="74">A179&amp;B179&amp;C179</f>
        <v>42U600x600Perforated door single leaf</v>
      </c>
      <c r="Z179" s="22">
        <f>AE179</f>
        <v>73</v>
      </c>
      <c r="AA179" s="55">
        <f t="shared" si="52"/>
        <v>0</v>
      </c>
      <c r="AC179" s="36" t="s">
        <v>5</v>
      </c>
      <c r="AD179" s="9"/>
      <c r="AE179" s="8">
        <v>73</v>
      </c>
    </row>
    <row r="180" spans="1:31" ht="15.75" x14ac:dyDescent="0.25">
      <c r="A180" t="s">
        <v>2</v>
      </c>
      <c r="B180" t="s">
        <v>3</v>
      </c>
      <c r="C180" s="24" t="str">
        <f t="shared" ref="C180:C185" si="75">AC180</f>
        <v>Full metal door single leaf</v>
      </c>
      <c r="X180" t="str">
        <f t="shared" si="74"/>
        <v>42U600x600Full metal door single leaf</v>
      </c>
      <c r="Z180" s="22">
        <f t="shared" ref="Z180:Z187" si="76">AE180</f>
        <v>36</v>
      </c>
      <c r="AA180" s="55">
        <f t="shared" si="52"/>
        <v>0</v>
      </c>
      <c r="AC180" s="36" t="s">
        <v>6</v>
      </c>
      <c r="AD180" s="9"/>
      <c r="AE180" s="8">
        <v>36</v>
      </c>
    </row>
    <row r="181" spans="1:31" ht="15.75" x14ac:dyDescent="0.25">
      <c r="A181" t="s">
        <v>2</v>
      </c>
      <c r="B181" t="s">
        <v>3</v>
      </c>
      <c r="C181" s="24" t="str">
        <f t="shared" si="75"/>
        <v>Metal-glass door single leaf</v>
      </c>
      <c r="X181" t="str">
        <f t="shared" si="74"/>
        <v>42U600x600Metal-glass door single leaf</v>
      </c>
      <c r="Z181" s="22">
        <f t="shared" si="76"/>
        <v>44.5</v>
      </c>
      <c r="AA181" s="55">
        <f t="shared" si="52"/>
        <v>0</v>
      </c>
      <c r="AC181" s="23" t="s">
        <v>7</v>
      </c>
      <c r="AD181" s="9"/>
      <c r="AE181" s="8">
        <v>44.5</v>
      </c>
    </row>
    <row r="182" spans="1:31" ht="15.75" x14ac:dyDescent="0.25">
      <c r="A182" t="s">
        <v>2</v>
      </c>
      <c r="B182" t="s">
        <v>3</v>
      </c>
      <c r="C182" s="24" t="str">
        <f t="shared" si="75"/>
        <v>Full glass door</v>
      </c>
      <c r="X182" t="str">
        <f t="shared" si="74"/>
        <v>42U600x600Full glass door</v>
      </c>
      <c r="Z182" s="22">
        <f t="shared" si="76"/>
        <v>21</v>
      </c>
      <c r="AA182" s="55">
        <f t="shared" si="52"/>
        <v>0</v>
      </c>
      <c r="AC182" s="23" t="s">
        <v>8</v>
      </c>
      <c r="AD182" s="9"/>
      <c r="AE182" s="8">
        <v>21</v>
      </c>
    </row>
    <row r="183" spans="1:31" ht="15.75" x14ac:dyDescent="0.25">
      <c r="A183" t="s">
        <v>2</v>
      </c>
      <c r="B183" t="s">
        <v>3</v>
      </c>
      <c r="C183" s="24" t="str">
        <f t="shared" si="75"/>
        <v>Perforated door double leaf</v>
      </c>
      <c r="D183" s="54"/>
      <c r="X183" t="str">
        <f t="shared" si="74"/>
        <v>42U600x600Perforated door double leaf</v>
      </c>
      <c r="Z183" s="22">
        <f t="shared" si="76"/>
        <v>89.5</v>
      </c>
      <c r="AA183" s="55">
        <f t="shared" si="52"/>
        <v>0</v>
      </c>
      <c r="AC183" s="10" t="s">
        <v>9</v>
      </c>
      <c r="AD183" s="9"/>
      <c r="AE183" s="8">
        <v>89.5</v>
      </c>
    </row>
    <row r="184" spans="1:31" ht="15.75" x14ac:dyDescent="0.25">
      <c r="A184" t="s">
        <v>2</v>
      </c>
      <c r="B184" t="s">
        <v>3</v>
      </c>
      <c r="C184" s="24" t="str">
        <f t="shared" si="75"/>
        <v>Back full metal panel</v>
      </c>
      <c r="X184" t="str">
        <f t="shared" si="74"/>
        <v>42U600x600Back full metal panel</v>
      </c>
      <c r="Z184" s="22">
        <f t="shared" si="76"/>
        <v>28.5</v>
      </c>
      <c r="AA184" s="55">
        <f t="shared" si="52"/>
        <v>0</v>
      </c>
      <c r="AC184" s="23" t="s">
        <v>10</v>
      </c>
      <c r="AD184" s="9"/>
      <c r="AE184" s="8">
        <v>28.5</v>
      </c>
    </row>
    <row r="185" spans="1:31" ht="15.75" x14ac:dyDescent="0.25">
      <c r="A185" t="s">
        <v>2</v>
      </c>
      <c r="B185" t="s">
        <v>3</v>
      </c>
      <c r="C185" s="24" t="str">
        <f t="shared" si="75"/>
        <v>Perforated back wall metal</v>
      </c>
      <c r="X185" t="str">
        <f t="shared" si="74"/>
        <v>42U600x600Perforated back wall metal</v>
      </c>
      <c r="Z185" s="22">
        <f t="shared" si="76"/>
        <v>36</v>
      </c>
      <c r="AA185" s="55">
        <f t="shared" si="52"/>
        <v>0</v>
      </c>
      <c r="AC185" s="10" t="s">
        <v>11</v>
      </c>
      <c r="AD185" s="9"/>
      <c r="AE185" s="8">
        <v>36</v>
      </c>
    </row>
    <row r="186" spans="1:31" ht="15.75" x14ac:dyDescent="0.25">
      <c r="A186" t="s">
        <v>2</v>
      </c>
      <c r="B186" t="s">
        <v>3</v>
      </c>
      <c r="C186" s="1" t="s">
        <v>38</v>
      </c>
      <c r="D186" s="54" t="str">
        <f t="shared" ref="D186:D187" si="77">AC186</f>
        <v xml:space="preserve">metal side panel full metal 1 pc </v>
      </c>
      <c r="Y186" t="str">
        <f t="shared" ref="Y186:Y187" si="78">A186&amp;B186&amp;D186</f>
        <v xml:space="preserve">42U600x600metal side panel full metal 1 pc </v>
      </c>
      <c r="Z186" s="22">
        <f t="shared" si="76"/>
        <v>19.5</v>
      </c>
      <c r="AA186" s="55">
        <f t="shared" si="52"/>
        <v>0</v>
      </c>
      <c r="AC186" s="23" t="s">
        <v>12</v>
      </c>
      <c r="AD186" s="9"/>
      <c r="AE186" s="8">
        <v>19.5</v>
      </c>
    </row>
    <row r="187" spans="1:31" ht="15.75" x14ac:dyDescent="0.25">
      <c r="A187" t="s">
        <v>2</v>
      </c>
      <c r="B187" t="s">
        <v>3</v>
      </c>
      <c r="C187" s="1" t="s">
        <v>38</v>
      </c>
      <c r="D187" s="54" t="str">
        <f t="shared" si="77"/>
        <v>metal side panel perforated 1 pc</v>
      </c>
      <c r="Y187" t="str">
        <f t="shared" si="78"/>
        <v>42U600x600metal side panel perforated 1 pc</v>
      </c>
      <c r="Z187" s="22">
        <f t="shared" si="76"/>
        <v>36</v>
      </c>
      <c r="AA187" s="55">
        <f t="shared" si="52"/>
        <v>0</v>
      </c>
      <c r="AC187" s="23" t="s">
        <v>13</v>
      </c>
      <c r="AD187" s="9"/>
      <c r="AE187" s="8">
        <v>36</v>
      </c>
    </row>
    <row r="188" spans="1:31" ht="15.75" x14ac:dyDescent="0.25">
      <c r="A188" t="s">
        <v>2</v>
      </c>
      <c r="B188" t="s">
        <v>3</v>
      </c>
      <c r="C188" s="1" t="s">
        <v>38</v>
      </c>
      <c r="Z188" s="56">
        <f t="shared" ref="Z188" si="79">AE188</f>
        <v>10.5</v>
      </c>
      <c r="AA188" s="55">
        <f t="shared" si="52"/>
        <v>2</v>
      </c>
      <c r="AC188" s="23" t="s">
        <v>14</v>
      </c>
      <c r="AD188" s="9"/>
      <c r="AE188" s="8">
        <v>10.5</v>
      </c>
    </row>
    <row r="189" spans="1:31" ht="15.75" x14ac:dyDescent="0.25">
      <c r="A189" t="s">
        <v>2</v>
      </c>
      <c r="B189" t="s">
        <v>15</v>
      </c>
      <c r="C189" s="18" t="s">
        <v>38</v>
      </c>
      <c r="AA189" s="55">
        <f t="shared" si="52"/>
        <v>0</v>
      </c>
      <c r="AC189" s="4" t="s">
        <v>15</v>
      </c>
      <c r="AD189" s="5"/>
      <c r="AE189" s="6"/>
    </row>
    <row r="190" spans="1:31" ht="15.75" x14ac:dyDescent="0.25">
      <c r="A190" t="s">
        <v>2</v>
      </c>
      <c r="B190" t="s">
        <v>15</v>
      </c>
      <c r="C190" s="1" t="s">
        <v>38</v>
      </c>
      <c r="W190" t="str">
        <f>A190&amp;B190</f>
        <v>42U600x800</v>
      </c>
      <c r="Z190" s="56">
        <f>SUMPRODUCT(AA190:AA200,AE190:AE200)</f>
        <v>130</v>
      </c>
      <c r="AA190" s="55">
        <f t="shared" si="52"/>
        <v>1</v>
      </c>
      <c r="AC190" s="35" t="s">
        <v>4</v>
      </c>
      <c r="AD190" s="7"/>
      <c r="AE190" s="8">
        <v>109</v>
      </c>
    </row>
    <row r="191" spans="1:31" ht="15.75" x14ac:dyDescent="0.25">
      <c r="A191" t="s">
        <v>2</v>
      </c>
      <c r="B191" t="s">
        <v>15</v>
      </c>
      <c r="C191" s="24" t="str">
        <f>AC191</f>
        <v>Perforated door single leaf</v>
      </c>
      <c r="X191" t="str">
        <f t="shared" ref="X191:X197" si="80">A191&amp;B191&amp;C191</f>
        <v>42U600x800Perforated door single leaf</v>
      </c>
      <c r="Z191" s="22">
        <f>AE191</f>
        <v>73</v>
      </c>
      <c r="AA191" s="55">
        <f t="shared" si="52"/>
        <v>0</v>
      </c>
      <c r="AC191" s="36" t="s">
        <v>5</v>
      </c>
      <c r="AD191" s="9"/>
      <c r="AE191" s="8">
        <v>73</v>
      </c>
    </row>
    <row r="192" spans="1:31" ht="15.75" x14ac:dyDescent="0.25">
      <c r="A192" t="s">
        <v>2</v>
      </c>
      <c r="B192" t="s">
        <v>15</v>
      </c>
      <c r="C192" s="24" t="str">
        <f t="shared" ref="C192:C197" si="81">AC192</f>
        <v>Full metal door single leaf</v>
      </c>
      <c r="X192" t="str">
        <f t="shared" si="80"/>
        <v>42U600x800Full metal door single leaf</v>
      </c>
      <c r="Z192" s="22">
        <f t="shared" ref="Z192:Z200" si="82">AE192</f>
        <v>36</v>
      </c>
      <c r="AA192" s="55">
        <f t="shared" si="52"/>
        <v>0</v>
      </c>
      <c r="AC192" s="36" t="s">
        <v>6</v>
      </c>
      <c r="AD192" s="9"/>
      <c r="AE192" s="8">
        <v>36</v>
      </c>
    </row>
    <row r="193" spans="1:31" ht="15.75" x14ac:dyDescent="0.25">
      <c r="A193" t="s">
        <v>2</v>
      </c>
      <c r="B193" t="s">
        <v>15</v>
      </c>
      <c r="C193" s="24" t="str">
        <f t="shared" si="81"/>
        <v>Metal-glass door single leaf</v>
      </c>
      <c r="X193" t="str">
        <f t="shared" si="80"/>
        <v>42U600x800Metal-glass door single leaf</v>
      </c>
      <c r="Z193" s="22">
        <f t="shared" si="82"/>
        <v>44.5</v>
      </c>
      <c r="AA193" s="55">
        <f t="shared" si="52"/>
        <v>0</v>
      </c>
      <c r="AC193" s="23" t="s">
        <v>7</v>
      </c>
      <c r="AD193" s="9"/>
      <c r="AE193" s="8">
        <v>44.5</v>
      </c>
    </row>
    <row r="194" spans="1:31" ht="15.75" x14ac:dyDescent="0.25">
      <c r="A194" t="s">
        <v>2</v>
      </c>
      <c r="B194" t="s">
        <v>15</v>
      </c>
      <c r="C194" s="24" t="str">
        <f t="shared" si="81"/>
        <v>Full glass door</v>
      </c>
      <c r="X194" t="str">
        <f t="shared" si="80"/>
        <v>42U600x800Full glass door</v>
      </c>
      <c r="Z194" s="22">
        <f t="shared" si="82"/>
        <v>21</v>
      </c>
      <c r="AA194" s="55">
        <f t="shared" si="52"/>
        <v>0</v>
      </c>
      <c r="AC194" s="23" t="s">
        <v>8</v>
      </c>
      <c r="AD194" s="9"/>
      <c r="AE194" s="8">
        <v>21</v>
      </c>
    </row>
    <row r="195" spans="1:31" ht="15.75" x14ac:dyDescent="0.25">
      <c r="A195" t="s">
        <v>2</v>
      </c>
      <c r="B195" t="s">
        <v>15</v>
      </c>
      <c r="C195" s="24" t="str">
        <f t="shared" si="81"/>
        <v>Perforated door double leaf</v>
      </c>
      <c r="D195" s="54"/>
      <c r="X195" t="str">
        <f t="shared" si="80"/>
        <v>42U600x800Perforated door double leaf</v>
      </c>
      <c r="Z195" s="22">
        <f t="shared" si="82"/>
        <v>36</v>
      </c>
      <c r="AA195" s="55">
        <f t="shared" si="52"/>
        <v>0</v>
      </c>
      <c r="AC195" s="10" t="s">
        <v>9</v>
      </c>
      <c r="AD195" s="9"/>
      <c r="AE195" s="8">
        <v>36</v>
      </c>
    </row>
    <row r="196" spans="1:31" ht="15.75" x14ac:dyDescent="0.25">
      <c r="A196" t="s">
        <v>2</v>
      </c>
      <c r="B196" t="s">
        <v>15</v>
      </c>
      <c r="C196" s="24" t="str">
        <f t="shared" si="81"/>
        <v>Back full metal panel</v>
      </c>
      <c r="X196" t="str">
        <f t="shared" si="80"/>
        <v>42U600x800Back full metal panel</v>
      </c>
      <c r="Z196" s="22">
        <f t="shared" si="82"/>
        <v>28.5</v>
      </c>
      <c r="AA196" s="55">
        <f t="shared" ref="AA196:AA259" si="83">IF(AC196="Frame",1,IF(LEFT(AC196,8)="Mounting",2,0))</f>
        <v>0</v>
      </c>
      <c r="AC196" s="23" t="s">
        <v>10</v>
      </c>
      <c r="AD196" s="9"/>
      <c r="AE196" s="8">
        <v>28.5</v>
      </c>
    </row>
    <row r="197" spans="1:31" ht="15.75" x14ac:dyDescent="0.25">
      <c r="A197" t="s">
        <v>2</v>
      </c>
      <c r="B197" t="s">
        <v>15</v>
      </c>
      <c r="C197" s="24" t="str">
        <f t="shared" si="81"/>
        <v>Perforated back wall metal</v>
      </c>
      <c r="X197" t="str">
        <f t="shared" si="80"/>
        <v>42U600x800Perforated back wall metal</v>
      </c>
      <c r="Z197" s="22">
        <f t="shared" si="82"/>
        <v>0</v>
      </c>
      <c r="AA197" s="55">
        <f t="shared" si="83"/>
        <v>0</v>
      </c>
      <c r="AC197" s="10" t="s">
        <v>11</v>
      </c>
      <c r="AD197" s="9"/>
      <c r="AE197" s="8">
        <v>0</v>
      </c>
    </row>
    <row r="198" spans="1:31" ht="15.75" x14ac:dyDescent="0.25">
      <c r="A198" t="s">
        <v>2</v>
      </c>
      <c r="B198" t="s">
        <v>15</v>
      </c>
      <c r="C198" s="1" t="s">
        <v>38</v>
      </c>
      <c r="D198" s="54" t="str">
        <f t="shared" ref="D198:D199" si="84">AC198</f>
        <v xml:space="preserve">metal side panel full metal 1 pc </v>
      </c>
      <c r="Y198" t="str">
        <f t="shared" ref="Y198:Y199" si="85">A198&amp;B198&amp;D198</f>
        <v xml:space="preserve">42U600x800metal side panel full metal 1 pc </v>
      </c>
      <c r="Z198" s="22">
        <f t="shared" si="82"/>
        <v>22</v>
      </c>
      <c r="AA198" s="55">
        <f t="shared" si="83"/>
        <v>0</v>
      </c>
      <c r="AC198" s="23" t="s">
        <v>12</v>
      </c>
      <c r="AD198" s="9"/>
      <c r="AE198" s="8">
        <v>22</v>
      </c>
    </row>
    <row r="199" spans="1:31" ht="15.75" x14ac:dyDescent="0.25">
      <c r="A199" t="s">
        <v>2</v>
      </c>
      <c r="B199" t="s">
        <v>15</v>
      </c>
      <c r="C199" s="1" t="s">
        <v>38</v>
      </c>
      <c r="D199" s="54" t="str">
        <f t="shared" si="84"/>
        <v>metal side panel perforated 1 pc</v>
      </c>
      <c r="Y199" t="str">
        <f t="shared" si="85"/>
        <v>42U600x800metal side panel perforated 1 pc</v>
      </c>
      <c r="Z199" s="22">
        <f t="shared" si="82"/>
        <v>41</v>
      </c>
      <c r="AA199" s="55">
        <f t="shared" si="83"/>
        <v>0</v>
      </c>
      <c r="AC199" s="23" t="s">
        <v>13</v>
      </c>
      <c r="AD199" s="9"/>
      <c r="AE199" s="8">
        <v>41</v>
      </c>
    </row>
    <row r="200" spans="1:31" ht="15.75" x14ac:dyDescent="0.25">
      <c r="A200" t="s">
        <v>2</v>
      </c>
      <c r="B200" t="s">
        <v>15</v>
      </c>
      <c r="C200" s="1" t="s">
        <v>38</v>
      </c>
      <c r="Z200" s="56">
        <f t="shared" si="82"/>
        <v>10.5</v>
      </c>
      <c r="AA200" s="55">
        <f t="shared" si="83"/>
        <v>2</v>
      </c>
      <c r="AC200" s="23" t="s">
        <v>14</v>
      </c>
      <c r="AD200" s="9"/>
      <c r="AE200" s="8">
        <v>10.5</v>
      </c>
    </row>
    <row r="201" spans="1:31" ht="15.75" x14ac:dyDescent="0.25">
      <c r="A201" t="s">
        <v>2</v>
      </c>
      <c r="B201" t="s">
        <v>16</v>
      </c>
      <c r="C201" s="18" t="s">
        <v>38</v>
      </c>
      <c r="AA201" s="55">
        <f t="shared" si="83"/>
        <v>0</v>
      </c>
      <c r="AC201" s="4" t="s">
        <v>16</v>
      </c>
      <c r="AD201" s="5"/>
      <c r="AE201" s="6"/>
    </row>
    <row r="202" spans="1:31" ht="15.75" x14ac:dyDescent="0.25">
      <c r="A202" t="s">
        <v>2</v>
      </c>
      <c r="B202" t="s">
        <v>16</v>
      </c>
      <c r="C202" s="1" t="s">
        <v>38</v>
      </c>
      <c r="W202" t="str">
        <f>A202&amp;B202</f>
        <v>42U800x600</v>
      </c>
      <c r="Z202" s="56">
        <f>SUMPRODUCT(AA202:AA211,AE202:AE211)</f>
        <v>150.5</v>
      </c>
      <c r="AA202" s="55">
        <f t="shared" si="83"/>
        <v>1</v>
      </c>
      <c r="AC202" s="35" t="s">
        <v>4</v>
      </c>
      <c r="AD202" s="7"/>
      <c r="AE202" s="8">
        <v>129.5</v>
      </c>
    </row>
    <row r="203" spans="1:31" ht="15.75" x14ac:dyDescent="0.25">
      <c r="A203" t="s">
        <v>2</v>
      </c>
      <c r="B203" t="s">
        <v>16</v>
      </c>
      <c r="C203" s="24" t="str">
        <f>AC203</f>
        <v>Perforated door single leaf</v>
      </c>
      <c r="X203" t="str">
        <f t="shared" ref="X203:X208" si="86">A203&amp;B203&amp;C203</f>
        <v>42U800x600Perforated door single leaf</v>
      </c>
      <c r="Z203" s="22">
        <f>AE203</f>
        <v>76.5</v>
      </c>
      <c r="AA203" s="55">
        <f t="shared" si="83"/>
        <v>0</v>
      </c>
      <c r="AC203" s="39" t="s">
        <v>5</v>
      </c>
      <c r="AD203" s="11"/>
      <c r="AE203" s="8">
        <v>76.5</v>
      </c>
    </row>
    <row r="204" spans="1:31" ht="15.75" x14ac:dyDescent="0.25">
      <c r="A204" t="s">
        <v>2</v>
      </c>
      <c r="B204" t="s">
        <v>16</v>
      </c>
      <c r="C204" s="24" t="str">
        <f t="shared" ref="C204:C209" si="87">AC204</f>
        <v>Full metal door single leaf</v>
      </c>
      <c r="X204" t="str">
        <f t="shared" si="86"/>
        <v>42U800x600Full metal door single leaf</v>
      </c>
      <c r="Z204" s="22">
        <f t="shared" ref="Z204:Z211" si="88">AE204</f>
        <v>42</v>
      </c>
      <c r="AA204" s="55">
        <f t="shared" si="83"/>
        <v>0</v>
      </c>
      <c r="AC204" s="36" t="s">
        <v>6</v>
      </c>
      <c r="AD204" s="9"/>
      <c r="AE204" s="8">
        <v>42</v>
      </c>
    </row>
    <row r="205" spans="1:31" ht="15.75" x14ac:dyDescent="0.25">
      <c r="A205" t="s">
        <v>2</v>
      </c>
      <c r="B205" t="s">
        <v>16</v>
      </c>
      <c r="C205" s="24" t="str">
        <f t="shared" si="87"/>
        <v>Metal-glass door single leaf</v>
      </c>
      <c r="X205" t="str">
        <f t="shared" si="86"/>
        <v>42U800x600Metal-glass door single leaf</v>
      </c>
      <c r="Z205" s="22">
        <f t="shared" si="88"/>
        <v>48</v>
      </c>
      <c r="AA205" s="55">
        <f t="shared" si="83"/>
        <v>0</v>
      </c>
      <c r="AC205" s="23" t="s">
        <v>7</v>
      </c>
      <c r="AD205" s="9"/>
      <c r="AE205" s="8">
        <v>48</v>
      </c>
    </row>
    <row r="206" spans="1:31" ht="15.75" x14ac:dyDescent="0.25">
      <c r="A206" t="s">
        <v>2</v>
      </c>
      <c r="B206" t="s">
        <v>16</v>
      </c>
      <c r="C206" s="24" t="str">
        <f t="shared" si="87"/>
        <v>Full glass door</v>
      </c>
      <c r="X206" t="str">
        <f t="shared" si="86"/>
        <v>42U800x600Full glass door</v>
      </c>
      <c r="Z206" s="22">
        <f t="shared" si="88"/>
        <v>25</v>
      </c>
      <c r="AA206" s="55">
        <f t="shared" si="83"/>
        <v>0</v>
      </c>
      <c r="AC206" s="23" t="s">
        <v>8</v>
      </c>
      <c r="AD206" s="9"/>
      <c r="AE206" s="8">
        <v>25</v>
      </c>
    </row>
    <row r="207" spans="1:31" ht="15.75" x14ac:dyDescent="0.25">
      <c r="A207" t="s">
        <v>2</v>
      </c>
      <c r="B207" t="s">
        <v>16</v>
      </c>
      <c r="C207" s="24" t="str">
        <f t="shared" si="87"/>
        <v>Back full metal panel</v>
      </c>
      <c r="D207" s="54"/>
      <c r="X207" t="str">
        <f t="shared" si="86"/>
        <v>42U800x600Back full metal panel</v>
      </c>
      <c r="Z207" s="22">
        <f t="shared" si="88"/>
        <v>28.5</v>
      </c>
      <c r="AA207" s="55">
        <f t="shared" si="83"/>
        <v>0</v>
      </c>
      <c r="AC207" s="23" t="s">
        <v>10</v>
      </c>
      <c r="AD207" s="9"/>
      <c r="AE207" s="8">
        <v>28.5</v>
      </c>
    </row>
    <row r="208" spans="1:31" ht="15.75" x14ac:dyDescent="0.25">
      <c r="A208" t="s">
        <v>2</v>
      </c>
      <c r="B208" t="s">
        <v>16</v>
      </c>
      <c r="C208" s="24" t="str">
        <f t="shared" si="87"/>
        <v>Perforated back wall metal</v>
      </c>
      <c r="X208" t="str">
        <f t="shared" si="86"/>
        <v>42U800x600Perforated back wall metal</v>
      </c>
      <c r="Z208" s="22">
        <f t="shared" si="88"/>
        <v>42.5</v>
      </c>
      <c r="AA208" s="55">
        <f t="shared" si="83"/>
        <v>0</v>
      </c>
      <c r="AC208" s="10" t="s">
        <v>11</v>
      </c>
      <c r="AD208" s="9"/>
      <c r="AE208" s="8">
        <v>42.5</v>
      </c>
    </row>
    <row r="209" spans="1:31" ht="15.75" x14ac:dyDescent="0.25">
      <c r="A209" t="s">
        <v>2</v>
      </c>
      <c r="B209" t="s">
        <v>16</v>
      </c>
      <c r="C209" s="24" t="str">
        <f t="shared" si="87"/>
        <v xml:space="preserve">metal side panel full metal 1 pc </v>
      </c>
      <c r="D209" s="54" t="str">
        <f t="shared" ref="D209:D210" si="89">AC209</f>
        <v xml:space="preserve">metal side panel full metal 1 pc </v>
      </c>
      <c r="Y209" t="str">
        <f t="shared" ref="Y209:Y210" si="90">A209&amp;B209&amp;D209</f>
        <v xml:space="preserve">42U800x600metal side panel full metal 1 pc </v>
      </c>
      <c r="Z209" s="22">
        <f t="shared" si="88"/>
        <v>19.5</v>
      </c>
      <c r="AA209" s="55">
        <f t="shared" si="83"/>
        <v>0</v>
      </c>
      <c r="AC209" s="23" t="s">
        <v>12</v>
      </c>
      <c r="AD209" s="9"/>
      <c r="AE209" s="8">
        <v>19.5</v>
      </c>
    </row>
    <row r="210" spans="1:31" ht="15.75" x14ac:dyDescent="0.25">
      <c r="A210" t="s">
        <v>2</v>
      </c>
      <c r="B210" t="s">
        <v>16</v>
      </c>
      <c r="C210" s="1" t="s">
        <v>38</v>
      </c>
      <c r="D210" s="54" t="str">
        <f t="shared" si="89"/>
        <v>metal side panel perforated 1 pc</v>
      </c>
      <c r="Y210" t="str">
        <f t="shared" si="90"/>
        <v>42U800x600metal side panel perforated 1 pc</v>
      </c>
      <c r="Z210" s="22">
        <f t="shared" si="88"/>
        <v>36</v>
      </c>
      <c r="AA210" s="55">
        <f t="shared" si="83"/>
        <v>0</v>
      </c>
      <c r="AC210" s="23" t="s">
        <v>13</v>
      </c>
      <c r="AD210" s="9"/>
      <c r="AE210" s="8">
        <v>36</v>
      </c>
    </row>
    <row r="211" spans="1:31" ht="15.75" x14ac:dyDescent="0.25">
      <c r="A211" t="s">
        <v>2</v>
      </c>
      <c r="B211" t="s">
        <v>16</v>
      </c>
      <c r="C211" s="1" t="s">
        <v>38</v>
      </c>
      <c r="D211" s="54"/>
      <c r="Z211" s="56">
        <f t="shared" si="88"/>
        <v>10.5</v>
      </c>
      <c r="AA211" s="55">
        <f t="shared" si="83"/>
        <v>2</v>
      </c>
      <c r="AC211" s="23" t="s">
        <v>14</v>
      </c>
      <c r="AD211" s="9"/>
      <c r="AE211" s="8">
        <v>10.5</v>
      </c>
    </row>
    <row r="212" spans="1:31" ht="15.75" x14ac:dyDescent="0.25">
      <c r="A212" t="s">
        <v>2</v>
      </c>
      <c r="B212" t="s">
        <v>17</v>
      </c>
      <c r="C212" s="18" t="s">
        <v>38</v>
      </c>
      <c r="Z212" s="57"/>
      <c r="AA212" s="55">
        <f t="shared" si="83"/>
        <v>0</v>
      </c>
      <c r="AC212" s="4" t="s">
        <v>17</v>
      </c>
      <c r="AD212" s="5"/>
      <c r="AE212" s="6"/>
    </row>
    <row r="213" spans="1:31" ht="15.75" x14ac:dyDescent="0.25">
      <c r="A213" t="s">
        <v>2</v>
      </c>
      <c r="B213" t="s">
        <v>17</v>
      </c>
      <c r="C213" s="1" t="s">
        <v>38</v>
      </c>
      <c r="W213" t="str">
        <f>A213&amp;B213</f>
        <v>42U600x900</v>
      </c>
      <c r="Z213" s="56">
        <f>SUMPRODUCT(AA213:AA221,AE213:AE221)</f>
        <v>144.5</v>
      </c>
      <c r="AA213" s="55">
        <f t="shared" si="83"/>
        <v>1</v>
      </c>
      <c r="AC213" s="35" t="s">
        <v>4</v>
      </c>
      <c r="AD213" s="7"/>
      <c r="AE213" s="8">
        <v>123.5</v>
      </c>
    </row>
    <row r="214" spans="1:31" ht="15.75" x14ac:dyDescent="0.25">
      <c r="A214" t="s">
        <v>2</v>
      </c>
      <c r="B214" t="s">
        <v>17</v>
      </c>
      <c r="C214" s="24" t="str">
        <f>AC214</f>
        <v>Perforated door single leaf</v>
      </c>
      <c r="X214" t="str">
        <f t="shared" ref="X214:X219" si="91">A214&amp;B214&amp;C214</f>
        <v>42U600x900Perforated door single leaf</v>
      </c>
      <c r="Z214" s="22">
        <f>AE214</f>
        <v>73</v>
      </c>
      <c r="AA214" s="55">
        <f t="shared" si="83"/>
        <v>0</v>
      </c>
      <c r="AC214" s="39" t="s">
        <v>5</v>
      </c>
      <c r="AD214" s="11"/>
      <c r="AE214" s="8">
        <v>73</v>
      </c>
    </row>
    <row r="215" spans="1:31" ht="15.75" x14ac:dyDescent="0.25">
      <c r="A215" t="s">
        <v>2</v>
      </c>
      <c r="B215" t="s">
        <v>17</v>
      </c>
      <c r="C215" s="24" t="str">
        <f t="shared" ref="C215:C219" si="92">AC215</f>
        <v>Full metal door single leaf</v>
      </c>
      <c r="X215" t="str">
        <f t="shared" si="91"/>
        <v>42U600x900Full metal door single leaf</v>
      </c>
      <c r="Z215" s="22">
        <f t="shared" ref="Z215:Z221" si="93">AE215</f>
        <v>36</v>
      </c>
      <c r="AA215" s="55">
        <f t="shared" si="83"/>
        <v>0</v>
      </c>
      <c r="AC215" s="36" t="s">
        <v>6</v>
      </c>
      <c r="AD215" s="9"/>
      <c r="AE215" s="8">
        <v>36</v>
      </c>
    </row>
    <row r="216" spans="1:31" ht="15.75" x14ac:dyDescent="0.25">
      <c r="A216" t="s">
        <v>2</v>
      </c>
      <c r="B216" t="s">
        <v>17</v>
      </c>
      <c r="C216" s="24" t="str">
        <f t="shared" si="92"/>
        <v>Metal-glass door single leaf</v>
      </c>
      <c r="X216" t="str">
        <f t="shared" si="91"/>
        <v>42U600x900Metal-glass door single leaf</v>
      </c>
      <c r="Z216" s="22">
        <f t="shared" si="93"/>
        <v>44.5</v>
      </c>
      <c r="AA216" s="55">
        <f t="shared" si="83"/>
        <v>0</v>
      </c>
      <c r="AC216" s="23" t="s">
        <v>7</v>
      </c>
      <c r="AD216" s="9"/>
      <c r="AE216" s="8">
        <v>44.5</v>
      </c>
    </row>
    <row r="217" spans="1:31" ht="15.75" x14ac:dyDescent="0.25">
      <c r="A217" t="s">
        <v>2</v>
      </c>
      <c r="B217" t="s">
        <v>17</v>
      </c>
      <c r="C217" s="24" t="str">
        <f t="shared" si="92"/>
        <v>Full glass door</v>
      </c>
      <c r="X217" t="str">
        <f t="shared" si="91"/>
        <v>42U600x900Full glass door</v>
      </c>
      <c r="Z217" s="22">
        <f t="shared" si="93"/>
        <v>21</v>
      </c>
      <c r="AA217" s="55">
        <f t="shared" si="83"/>
        <v>0</v>
      </c>
      <c r="AC217" s="23" t="s">
        <v>8</v>
      </c>
      <c r="AD217" s="9"/>
      <c r="AE217" s="8">
        <v>21</v>
      </c>
    </row>
    <row r="218" spans="1:31" ht="15.75" x14ac:dyDescent="0.25">
      <c r="A218" t="s">
        <v>2</v>
      </c>
      <c r="B218" t="s">
        <v>17</v>
      </c>
      <c r="C218" s="24" t="str">
        <f t="shared" si="92"/>
        <v>Back full metal panel</v>
      </c>
      <c r="D218" s="54"/>
      <c r="X218" t="str">
        <f t="shared" si="91"/>
        <v>42U600x900Back full metal panel</v>
      </c>
      <c r="Z218" s="22">
        <f t="shared" si="93"/>
        <v>28.5</v>
      </c>
      <c r="AA218" s="55">
        <f t="shared" si="83"/>
        <v>0</v>
      </c>
      <c r="AC218" s="23" t="s">
        <v>10</v>
      </c>
      <c r="AD218" s="9"/>
      <c r="AE218" s="8">
        <v>28.5</v>
      </c>
    </row>
    <row r="219" spans="1:31" ht="15.75" x14ac:dyDescent="0.25">
      <c r="A219" t="s">
        <v>2</v>
      </c>
      <c r="B219" t="s">
        <v>17</v>
      </c>
      <c r="C219" s="24" t="str">
        <f t="shared" si="92"/>
        <v>Perforated back wall metal</v>
      </c>
      <c r="X219" t="str">
        <f t="shared" si="91"/>
        <v>42U600x900Perforated back wall metal</v>
      </c>
      <c r="Z219" s="22">
        <f t="shared" si="93"/>
        <v>36</v>
      </c>
      <c r="AA219" s="55">
        <f t="shared" si="83"/>
        <v>0</v>
      </c>
      <c r="AC219" s="10" t="s">
        <v>11</v>
      </c>
      <c r="AD219" s="9"/>
      <c r="AE219" s="8">
        <v>36</v>
      </c>
    </row>
    <row r="220" spans="1:31" ht="15.75" x14ac:dyDescent="0.25">
      <c r="A220" t="s">
        <v>2</v>
      </c>
      <c r="B220" t="s">
        <v>17</v>
      </c>
      <c r="C220" s="1" t="s">
        <v>38</v>
      </c>
      <c r="D220" s="54" t="str">
        <f t="shared" ref="D220" si="94">AC220</f>
        <v xml:space="preserve">metal side panel full metal 1 pc </v>
      </c>
      <c r="Y220" t="str">
        <f t="shared" ref="Y220" si="95">A220&amp;B220&amp;D220</f>
        <v xml:space="preserve">42U600x900metal side panel full metal 1 pc </v>
      </c>
      <c r="Z220" s="22">
        <f t="shared" si="93"/>
        <v>23</v>
      </c>
      <c r="AA220" s="55">
        <f t="shared" si="83"/>
        <v>0</v>
      </c>
      <c r="AC220" s="23" t="s">
        <v>12</v>
      </c>
      <c r="AD220" s="9"/>
      <c r="AE220" s="8">
        <v>23</v>
      </c>
    </row>
    <row r="221" spans="1:31" ht="15.75" x14ac:dyDescent="0.25">
      <c r="A221" t="s">
        <v>2</v>
      </c>
      <c r="B221" t="s">
        <v>17</v>
      </c>
      <c r="C221" s="1" t="s">
        <v>38</v>
      </c>
      <c r="D221" s="54"/>
      <c r="Z221" s="56">
        <f t="shared" si="93"/>
        <v>10.5</v>
      </c>
      <c r="AA221" s="55">
        <f t="shared" si="83"/>
        <v>2</v>
      </c>
      <c r="AC221" s="23" t="s">
        <v>14</v>
      </c>
      <c r="AD221" s="9"/>
      <c r="AE221" s="8">
        <v>10.5</v>
      </c>
    </row>
    <row r="222" spans="1:31" ht="15.75" x14ac:dyDescent="0.25">
      <c r="A222" t="s">
        <v>2</v>
      </c>
      <c r="B222" t="s">
        <v>18</v>
      </c>
      <c r="C222" s="18" t="s">
        <v>38</v>
      </c>
      <c r="Y222" s="18"/>
      <c r="Z222" s="57"/>
      <c r="AA222" s="55">
        <f t="shared" si="83"/>
        <v>0</v>
      </c>
      <c r="AC222" s="4" t="s">
        <v>18</v>
      </c>
      <c r="AD222" s="5"/>
      <c r="AE222" s="6"/>
    </row>
    <row r="223" spans="1:31" ht="15.75" x14ac:dyDescent="0.25">
      <c r="A223" t="s">
        <v>2</v>
      </c>
      <c r="B223" t="s">
        <v>18</v>
      </c>
      <c r="C223" s="1" t="s">
        <v>38</v>
      </c>
      <c r="W223" t="str">
        <f>A223&amp;B223</f>
        <v>42U800x800</v>
      </c>
      <c r="Z223" s="56">
        <f>SUMPRODUCT(AA223:AA233,AE223:AE233)</f>
        <v>146</v>
      </c>
      <c r="AA223" s="55">
        <f t="shared" si="83"/>
        <v>1</v>
      </c>
      <c r="AC223" s="35" t="s">
        <v>4</v>
      </c>
      <c r="AD223" s="7"/>
      <c r="AE223" s="8">
        <v>125</v>
      </c>
    </row>
    <row r="224" spans="1:31" ht="15.75" x14ac:dyDescent="0.25">
      <c r="A224" t="s">
        <v>2</v>
      </c>
      <c r="B224" t="s">
        <v>18</v>
      </c>
      <c r="C224" s="24" t="str">
        <f>AC224</f>
        <v>Perforated door single leaf</v>
      </c>
      <c r="X224" t="str">
        <f t="shared" ref="X224:X229" si="96">A224&amp;B224&amp;C224</f>
        <v>42U800x800Perforated door single leaf</v>
      </c>
      <c r="Z224" s="22">
        <f>AE224</f>
        <v>76.5</v>
      </c>
      <c r="AA224" s="55">
        <f t="shared" si="83"/>
        <v>0</v>
      </c>
      <c r="AC224" s="39" t="s">
        <v>5</v>
      </c>
      <c r="AD224" s="11"/>
      <c r="AE224" s="8">
        <v>76.5</v>
      </c>
    </row>
    <row r="225" spans="1:31" ht="15.75" x14ac:dyDescent="0.25">
      <c r="A225" t="s">
        <v>2</v>
      </c>
      <c r="B225" t="s">
        <v>18</v>
      </c>
      <c r="C225" s="24" t="str">
        <f t="shared" ref="C225:C230" si="97">AC225</f>
        <v>Full metal door single leaf</v>
      </c>
      <c r="X225" t="str">
        <f t="shared" si="96"/>
        <v>42U800x800Full metal door single leaf</v>
      </c>
      <c r="Z225" s="22">
        <f t="shared" ref="Z225:Z233" si="98">AE225</f>
        <v>42</v>
      </c>
      <c r="AA225" s="55">
        <f t="shared" si="83"/>
        <v>0</v>
      </c>
      <c r="AC225" s="36" t="s">
        <v>6</v>
      </c>
      <c r="AD225" s="9"/>
      <c r="AE225" s="8">
        <v>42</v>
      </c>
    </row>
    <row r="226" spans="1:31" ht="15.75" x14ac:dyDescent="0.25">
      <c r="A226" t="s">
        <v>2</v>
      </c>
      <c r="B226" t="s">
        <v>18</v>
      </c>
      <c r="C226" s="24" t="str">
        <f t="shared" si="97"/>
        <v>Metal-glass door single leaf</v>
      </c>
      <c r="X226" t="str">
        <f t="shared" si="96"/>
        <v>42U800x800Metal-glass door single leaf</v>
      </c>
      <c r="Z226" s="22">
        <f t="shared" si="98"/>
        <v>48</v>
      </c>
      <c r="AA226" s="55">
        <f t="shared" si="83"/>
        <v>0</v>
      </c>
      <c r="AC226" s="23" t="s">
        <v>7</v>
      </c>
      <c r="AD226" s="9"/>
      <c r="AE226" s="8">
        <v>48</v>
      </c>
    </row>
    <row r="227" spans="1:31" ht="15.75" x14ac:dyDescent="0.25">
      <c r="A227" t="s">
        <v>2</v>
      </c>
      <c r="B227" t="s">
        <v>18</v>
      </c>
      <c r="C227" s="24" t="str">
        <f t="shared" si="97"/>
        <v>Full glass door</v>
      </c>
      <c r="X227" t="str">
        <f t="shared" si="96"/>
        <v>42U800x800Full glass door</v>
      </c>
      <c r="Z227" s="22">
        <f t="shared" si="98"/>
        <v>25</v>
      </c>
      <c r="AA227" s="55">
        <f t="shared" si="83"/>
        <v>0</v>
      </c>
      <c r="AC227" s="23" t="s">
        <v>8</v>
      </c>
      <c r="AD227" s="9"/>
      <c r="AE227" s="8">
        <v>25</v>
      </c>
    </row>
    <row r="228" spans="1:31" ht="15.75" x14ac:dyDescent="0.25">
      <c r="A228" t="s">
        <v>2</v>
      </c>
      <c r="B228" t="s">
        <v>18</v>
      </c>
      <c r="C228" s="24" t="str">
        <f t="shared" si="97"/>
        <v>Perforated door double leaf</v>
      </c>
      <c r="D228" s="54"/>
      <c r="X228" t="str">
        <f t="shared" si="96"/>
        <v>42U800x800Perforated door double leaf</v>
      </c>
      <c r="Z228" s="22">
        <f t="shared" si="98"/>
        <v>111</v>
      </c>
      <c r="AA228" s="55">
        <f t="shared" si="83"/>
        <v>0</v>
      </c>
      <c r="AC228" s="10" t="s">
        <v>9</v>
      </c>
      <c r="AD228" s="9"/>
      <c r="AE228" s="8">
        <v>111</v>
      </c>
    </row>
    <row r="229" spans="1:31" ht="15.75" x14ac:dyDescent="0.25">
      <c r="A229" t="s">
        <v>2</v>
      </c>
      <c r="B229" t="s">
        <v>18</v>
      </c>
      <c r="C229" s="24" t="str">
        <f t="shared" si="97"/>
        <v>Back full metal panel</v>
      </c>
      <c r="X229" t="str">
        <f t="shared" si="96"/>
        <v>42U800x800Back full metal panel</v>
      </c>
      <c r="Z229" s="22">
        <f t="shared" si="98"/>
        <v>29.5</v>
      </c>
      <c r="AA229" s="55">
        <f t="shared" si="83"/>
        <v>0</v>
      </c>
      <c r="AC229" s="23" t="s">
        <v>10</v>
      </c>
      <c r="AD229" s="9"/>
      <c r="AE229" s="8">
        <v>29.5</v>
      </c>
    </row>
    <row r="230" spans="1:31" ht="15.75" x14ac:dyDescent="0.25">
      <c r="A230" t="s">
        <v>2</v>
      </c>
      <c r="B230" t="s">
        <v>18</v>
      </c>
      <c r="C230" s="24" t="str">
        <f t="shared" si="97"/>
        <v>Perforated back wall metal</v>
      </c>
      <c r="D230" s="54"/>
      <c r="Y230" t="str">
        <f t="shared" ref="Y230:Y231" si="99">A230&amp;B230&amp;D230</f>
        <v>42U800x800</v>
      </c>
      <c r="Z230" s="22">
        <f t="shared" si="98"/>
        <v>42.5</v>
      </c>
      <c r="AA230" s="55">
        <f t="shared" si="83"/>
        <v>0</v>
      </c>
      <c r="AC230" s="23" t="s">
        <v>11</v>
      </c>
      <c r="AD230" s="9"/>
      <c r="AE230" s="8">
        <v>42.5</v>
      </c>
    </row>
    <row r="231" spans="1:31" ht="15.75" x14ac:dyDescent="0.25">
      <c r="A231" t="s">
        <v>2</v>
      </c>
      <c r="B231" t="s">
        <v>18</v>
      </c>
      <c r="C231" s="1" t="s">
        <v>38</v>
      </c>
      <c r="D231" s="54" t="str">
        <f t="shared" ref="D231:D232" si="100">AC231</f>
        <v xml:space="preserve">metal side panel full metal 1 pc </v>
      </c>
      <c r="Y231" t="str">
        <f t="shared" si="99"/>
        <v xml:space="preserve">42U800x800metal side panel full metal 1 pc </v>
      </c>
      <c r="Z231" s="22">
        <f t="shared" si="98"/>
        <v>22</v>
      </c>
      <c r="AA231" s="55">
        <f t="shared" si="83"/>
        <v>0</v>
      </c>
      <c r="AC231" s="23" t="s">
        <v>12</v>
      </c>
      <c r="AD231" s="9"/>
      <c r="AE231" s="8">
        <v>22</v>
      </c>
    </row>
    <row r="232" spans="1:31" ht="15.75" x14ac:dyDescent="0.25">
      <c r="A232" t="s">
        <v>2</v>
      </c>
      <c r="B232" t="s">
        <v>18</v>
      </c>
      <c r="C232" s="1" t="s">
        <v>38</v>
      </c>
      <c r="D232" s="54" t="str">
        <f t="shared" si="100"/>
        <v>metal side panel perforated 1 pc</v>
      </c>
      <c r="Z232" s="22">
        <f t="shared" si="98"/>
        <v>41</v>
      </c>
      <c r="AA232" s="55">
        <f t="shared" si="83"/>
        <v>0</v>
      </c>
      <c r="AC232" s="23" t="s">
        <v>13</v>
      </c>
      <c r="AD232" s="9"/>
      <c r="AE232" s="8">
        <v>41</v>
      </c>
    </row>
    <row r="233" spans="1:31" ht="15.75" x14ac:dyDescent="0.25">
      <c r="A233" t="s">
        <v>2</v>
      </c>
      <c r="B233" t="s">
        <v>18</v>
      </c>
      <c r="C233" s="1" t="s">
        <v>38</v>
      </c>
      <c r="Z233" s="56">
        <f t="shared" si="98"/>
        <v>10.5</v>
      </c>
      <c r="AA233" s="55">
        <f t="shared" si="83"/>
        <v>2</v>
      </c>
      <c r="AC233" s="23" t="s">
        <v>14</v>
      </c>
      <c r="AD233" s="9"/>
      <c r="AE233" s="8">
        <v>10.5</v>
      </c>
    </row>
    <row r="234" spans="1:31" ht="15.75" x14ac:dyDescent="0.25">
      <c r="A234" t="s">
        <v>2</v>
      </c>
      <c r="B234" t="s">
        <v>19</v>
      </c>
      <c r="C234" s="18" t="s">
        <v>38</v>
      </c>
      <c r="AA234" s="55">
        <f t="shared" si="83"/>
        <v>0</v>
      </c>
      <c r="AC234" s="4" t="s">
        <v>19</v>
      </c>
      <c r="AD234" s="5"/>
      <c r="AE234" s="6"/>
    </row>
    <row r="235" spans="1:31" ht="15.75" x14ac:dyDescent="0.25">
      <c r="A235" t="s">
        <v>2</v>
      </c>
      <c r="B235" t="s">
        <v>19</v>
      </c>
      <c r="C235" s="1" t="s">
        <v>38</v>
      </c>
      <c r="W235" t="str">
        <f>A235&amp;B235</f>
        <v>42U600x1000</v>
      </c>
      <c r="Z235" s="56">
        <f>SUMPRODUCT(AA235:AA245,AE235:AE245)</f>
        <v>138</v>
      </c>
      <c r="AA235" s="55">
        <f t="shared" si="83"/>
        <v>1</v>
      </c>
      <c r="AC235" s="35" t="s">
        <v>4</v>
      </c>
      <c r="AD235" s="7"/>
      <c r="AE235" s="8">
        <v>117</v>
      </c>
    </row>
    <row r="236" spans="1:31" ht="15.75" x14ac:dyDescent="0.25">
      <c r="A236" t="s">
        <v>2</v>
      </c>
      <c r="B236" t="s">
        <v>19</v>
      </c>
      <c r="C236" s="24" t="str">
        <f>AC236</f>
        <v>Perforated door single leaf</v>
      </c>
      <c r="X236" t="str">
        <f t="shared" ref="X236:X241" si="101">A236&amp;B236&amp;C236</f>
        <v>42U600x1000Perforated door single leaf</v>
      </c>
      <c r="Z236" s="22">
        <f>AE236</f>
        <v>73</v>
      </c>
      <c r="AA236" s="55">
        <f t="shared" si="83"/>
        <v>0</v>
      </c>
      <c r="AC236" s="39" t="s">
        <v>5</v>
      </c>
      <c r="AD236" s="11"/>
      <c r="AE236" s="8">
        <v>73</v>
      </c>
    </row>
    <row r="237" spans="1:31" ht="15.75" x14ac:dyDescent="0.25">
      <c r="A237" t="s">
        <v>2</v>
      </c>
      <c r="B237" t="s">
        <v>19</v>
      </c>
      <c r="C237" s="24" t="str">
        <f t="shared" ref="C237:C242" si="102">AC237</f>
        <v>Full metal door single leaf</v>
      </c>
      <c r="X237" t="str">
        <f t="shared" si="101"/>
        <v>42U600x1000Full metal door single leaf</v>
      </c>
      <c r="Z237" s="22">
        <f t="shared" ref="Z237:Z245" si="103">AE237</f>
        <v>36</v>
      </c>
      <c r="AA237" s="55">
        <f t="shared" si="83"/>
        <v>0</v>
      </c>
      <c r="AC237" s="36" t="s">
        <v>6</v>
      </c>
      <c r="AD237" s="9"/>
      <c r="AE237" s="8">
        <v>36</v>
      </c>
    </row>
    <row r="238" spans="1:31" ht="15.75" x14ac:dyDescent="0.25">
      <c r="A238" t="s">
        <v>2</v>
      </c>
      <c r="B238" t="s">
        <v>19</v>
      </c>
      <c r="C238" s="24" t="str">
        <f t="shared" si="102"/>
        <v>Metal-glass door single leaf</v>
      </c>
      <c r="X238" t="str">
        <f t="shared" si="101"/>
        <v>42U600x1000Metal-glass door single leaf</v>
      </c>
      <c r="Z238" s="22">
        <f t="shared" si="103"/>
        <v>44.5</v>
      </c>
      <c r="AA238" s="55">
        <f t="shared" si="83"/>
        <v>0</v>
      </c>
      <c r="AC238" s="23" t="s">
        <v>7</v>
      </c>
      <c r="AD238" s="9"/>
      <c r="AE238" s="8">
        <v>44.5</v>
      </c>
    </row>
    <row r="239" spans="1:31" ht="15.75" x14ac:dyDescent="0.25">
      <c r="A239" t="s">
        <v>2</v>
      </c>
      <c r="B239" t="s">
        <v>19</v>
      </c>
      <c r="C239" s="24" t="str">
        <f t="shared" si="102"/>
        <v>Full glass door</v>
      </c>
      <c r="X239" t="str">
        <f t="shared" si="101"/>
        <v>42U600x1000Full glass door</v>
      </c>
      <c r="Z239" s="22">
        <f t="shared" si="103"/>
        <v>21</v>
      </c>
      <c r="AA239" s="55">
        <f t="shared" si="83"/>
        <v>0</v>
      </c>
      <c r="AC239" s="23" t="s">
        <v>8</v>
      </c>
      <c r="AD239" s="9"/>
      <c r="AE239" s="8">
        <v>21</v>
      </c>
    </row>
    <row r="240" spans="1:31" ht="15.75" x14ac:dyDescent="0.25">
      <c r="A240" t="s">
        <v>2</v>
      </c>
      <c r="B240" t="s">
        <v>19</v>
      </c>
      <c r="C240" s="24" t="str">
        <f t="shared" si="102"/>
        <v>Perforated door double leaf</v>
      </c>
      <c r="D240" s="54"/>
      <c r="X240" t="str">
        <f t="shared" si="101"/>
        <v>42U600x1000Perforated door double leaf</v>
      </c>
      <c r="Z240" s="22">
        <f t="shared" si="103"/>
        <v>89.5</v>
      </c>
      <c r="AA240" s="55">
        <f t="shared" si="83"/>
        <v>0</v>
      </c>
      <c r="AC240" s="10" t="s">
        <v>9</v>
      </c>
      <c r="AD240" s="9"/>
      <c r="AE240" s="8">
        <v>89.5</v>
      </c>
    </row>
    <row r="241" spans="1:31" ht="15.75" x14ac:dyDescent="0.25">
      <c r="A241" t="s">
        <v>2</v>
      </c>
      <c r="B241" t="s">
        <v>19</v>
      </c>
      <c r="C241" s="24" t="str">
        <f t="shared" si="102"/>
        <v>Back full metal panel</v>
      </c>
      <c r="X241" t="str">
        <f t="shared" si="101"/>
        <v>42U600x1000Back full metal panel</v>
      </c>
      <c r="Z241" s="22">
        <f t="shared" si="103"/>
        <v>28.5</v>
      </c>
      <c r="AA241" s="55">
        <f t="shared" si="83"/>
        <v>0</v>
      </c>
      <c r="AC241" s="23" t="s">
        <v>10</v>
      </c>
      <c r="AD241" s="9"/>
      <c r="AE241" s="8">
        <v>28.5</v>
      </c>
    </row>
    <row r="242" spans="1:31" ht="15.75" x14ac:dyDescent="0.25">
      <c r="A242" t="s">
        <v>2</v>
      </c>
      <c r="B242" t="s">
        <v>19</v>
      </c>
      <c r="C242" s="24" t="str">
        <f t="shared" si="102"/>
        <v>Perforated back wall metal</v>
      </c>
      <c r="D242" s="54"/>
      <c r="Y242" t="str">
        <f t="shared" ref="Y242:Y243" si="104">A242&amp;B242&amp;D242</f>
        <v>42U600x1000</v>
      </c>
      <c r="Z242" s="22">
        <f t="shared" si="103"/>
        <v>36</v>
      </c>
      <c r="AA242" s="55">
        <f t="shared" si="83"/>
        <v>0</v>
      </c>
      <c r="AC242" s="23" t="s">
        <v>11</v>
      </c>
      <c r="AD242" s="9"/>
      <c r="AE242" s="8">
        <v>36</v>
      </c>
    </row>
    <row r="243" spans="1:31" ht="15.75" x14ac:dyDescent="0.25">
      <c r="A243" t="s">
        <v>2</v>
      </c>
      <c r="B243" t="s">
        <v>19</v>
      </c>
      <c r="C243" s="1" t="s">
        <v>38</v>
      </c>
      <c r="D243" s="54" t="str">
        <f t="shared" ref="D243:D244" si="105">AC243</f>
        <v>metal side panel</v>
      </c>
      <c r="Y243" t="str">
        <f t="shared" si="104"/>
        <v>42U600x1000metal side panel</v>
      </c>
      <c r="Z243" s="22">
        <f t="shared" si="103"/>
        <v>30</v>
      </c>
      <c r="AA243" s="55">
        <f t="shared" si="83"/>
        <v>0</v>
      </c>
      <c r="AC243" s="23" t="s">
        <v>20</v>
      </c>
      <c r="AD243" s="9"/>
      <c r="AE243" s="8">
        <v>30</v>
      </c>
    </row>
    <row r="244" spans="1:31" ht="15.75" x14ac:dyDescent="0.25">
      <c r="A244" t="s">
        <v>2</v>
      </c>
      <c r="B244" t="s">
        <v>19</v>
      </c>
      <c r="C244" s="1" t="s">
        <v>38</v>
      </c>
      <c r="D244" s="54" t="str">
        <f t="shared" si="105"/>
        <v>perforated side panel</v>
      </c>
      <c r="Z244" s="22">
        <f t="shared" si="103"/>
        <v>45.5</v>
      </c>
      <c r="AA244" s="55">
        <f t="shared" si="83"/>
        <v>0</v>
      </c>
      <c r="AC244" s="23" t="s">
        <v>21</v>
      </c>
      <c r="AD244" s="9"/>
      <c r="AE244" s="8">
        <v>45.5</v>
      </c>
    </row>
    <row r="245" spans="1:31" ht="15.75" x14ac:dyDescent="0.25">
      <c r="A245" t="s">
        <v>2</v>
      </c>
      <c r="B245" t="s">
        <v>19</v>
      </c>
      <c r="C245" s="1" t="s">
        <v>38</v>
      </c>
      <c r="Z245" s="56">
        <f t="shared" si="103"/>
        <v>10.5</v>
      </c>
      <c r="AA245" s="55">
        <f t="shared" si="83"/>
        <v>2</v>
      </c>
      <c r="AC245" s="23" t="s">
        <v>14</v>
      </c>
      <c r="AD245" s="9"/>
      <c r="AE245" s="8">
        <v>10.5</v>
      </c>
    </row>
    <row r="246" spans="1:31" ht="15.75" x14ac:dyDescent="0.25">
      <c r="A246" t="s">
        <v>2</v>
      </c>
      <c r="B246" t="s">
        <v>22</v>
      </c>
      <c r="C246" s="18" t="s">
        <v>38</v>
      </c>
      <c r="AA246" s="55">
        <f t="shared" si="83"/>
        <v>0</v>
      </c>
      <c r="AC246" s="4" t="s">
        <v>22</v>
      </c>
      <c r="AD246" s="5"/>
      <c r="AE246" s="6"/>
    </row>
    <row r="247" spans="1:31" ht="15.75" x14ac:dyDescent="0.25">
      <c r="A247" t="s">
        <v>2</v>
      </c>
      <c r="B247" t="s">
        <v>22</v>
      </c>
      <c r="C247" s="1" t="s">
        <v>38</v>
      </c>
      <c r="W247" t="str">
        <f>A247&amp;B247</f>
        <v>42U600x1200</v>
      </c>
      <c r="Z247" s="56">
        <f>SUMPRODUCT(AA247:AA257,AE247:AE257)</f>
        <v>151</v>
      </c>
      <c r="AA247" s="55">
        <f t="shared" si="83"/>
        <v>1</v>
      </c>
      <c r="AC247" s="35" t="s">
        <v>4</v>
      </c>
      <c r="AD247" s="7"/>
      <c r="AE247" s="8">
        <v>130</v>
      </c>
    </row>
    <row r="248" spans="1:31" ht="15.75" x14ac:dyDescent="0.25">
      <c r="A248" t="s">
        <v>2</v>
      </c>
      <c r="B248" t="s">
        <v>22</v>
      </c>
      <c r="C248" s="24" t="str">
        <f>AC248</f>
        <v>Perforated door single leaf</v>
      </c>
      <c r="X248" t="str">
        <f t="shared" ref="X248:X253" si="106">A248&amp;B248&amp;C248</f>
        <v>42U600x1200Perforated door single leaf</v>
      </c>
      <c r="Z248" s="22">
        <f>AE248</f>
        <v>73</v>
      </c>
      <c r="AA248" s="55">
        <f t="shared" si="83"/>
        <v>0</v>
      </c>
      <c r="AC248" s="36" t="s">
        <v>5</v>
      </c>
      <c r="AD248" s="9"/>
      <c r="AE248" s="8">
        <v>73</v>
      </c>
    </row>
    <row r="249" spans="1:31" ht="15.75" x14ac:dyDescent="0.25">
      <c r="A249" t="s">
        <v>2</v>
      </c>
      <c r="B249" t="s">
        <v>22</v>
      </c>
      <c r="C249" s="24" t="str">
        <f t="shared" ref="C249:C254" si="107">AC249</f>
        <v>Full metal door single leaf</v>
      </c>
      <c r="X249" t="str">
        <f t="shared" si="106"/>
        <v>42U600x1200Full metal door single leaf</v>
      </c>
      <c r="Z249" s="22">
        <f t="shared" ref="Z249:Z257" si="108">AE249</f>
        <v>36</v>
      </c>
      <c r="AA249" s="55">
        <f t="shared" si="83"/>
        <v>0</v>
      </c>
      <c r="AC249" s="36" t="s">
        <v>6</v>
      </c>
      <c r="AD249" s="9"/>
      <c r="AE249" s="8">
        <v>36</v>
      </c>
    </row>
    <row r="250" spans="1:31" ht="15.75" x14ac:dyDescent="0.25">
      <c r="A250" t="s">
        <v>2</v>
      </c>
      <c r="B250" t="s">
        <v>22</v>
      </c>
      <c r="C250" s="24" t="str">
        <f t="shared" si="107"/>
        <v>Metal-glass door single leaf</v>
      </c>
      <c r="X250" t="str">
        <f t="shared" si="106"/>
        <v>42U600x1200Metal-glass door single leaf</v>
      </c>
      <c r="Z250" s="22">
        <f t="shared" si="108"/>
        <v>44.5</v>
      </c>
      <c r="AA250" s="55">
        <f t="shared" si="83"/>
        <v>0</v>
      </c>
      <c r="AC250" s="23" t="s">
        <v>7</v>
      </c>
      <c r="AD250" s="9"/>
      <c r="AE250" s="8">
        <v>44.5</v>
      </c>
    </row>
    <row r="251" spans="1:31" ht="15.75" x14ac:dyDescent="0.25">
      <c r="A251" t="s">
        <v>2</v>
      </c>
      <c r="B251" t="s">
        <v>22</v>
      </c>
      <c r="C251" s="24" t="str">
        <f t="shared" si="107"/>
        <v>Full glass door</v>
      </c>
      <c r="X251" t="str">
        <f t="shared" si="106"/>
        <v>42U600x1200Full glass door</v>
      </c>
      <c r="Z251" s="22">
        <f t="shared" si="108"/>
        <v>21</v>
      </c>
      <c r="AA251" s="55">
        <f t="shared" si="83"/>
        <v>0</v>
      </c>
      <c r="AC251" s="23" t="s">
        <v>8</v>
      </c>
      <c r="AD251" s="9"/>
      <c r="AE251" s="8">
        <v>21</v>
      </c>
    </row>
    <row r="252" spans="1:31" ht="15.75" x14ac:dyDescent="0.25">
      <c r="A252" t="s">
        <v>2</v>
      </c>
      <c r="B252" t="s">
        <v>22</v>
      </c>
      <c r="C252" s="24" t="str">
        <f t="shared" si="107"/>
        <v>Perforated door double leaf</v>
      </c>
      <c r="D252" s="54"/>
      <c r="X252" t="str">
        <f t="shared" si="106"/>
        <v>42U600x1200Perforated door double leaf</v>
      </c>
      <c r="Z252" s="22">
        <f t="shared" si="108"/>
        <v>89.5</v>
      </c>
      <c r="AA252" s="55">
        <f t="shared" si="83"/>
        <v>0</v>
      </c>
      <c r="AC252" s="10" t="s">
        <v>9</v>
      </c>
      <c r="AD252" s="9"/>
      <c r="AE252" s="8">
        <v>89.5</v>
      </c>
    </row>
    <row r="253" spans="1:31" ht="15.75" x14ac:dyDescent="0.25">
      <c r="A253" t="s">
        <v>2</v>
      </c>
      <c r="B253" t="s">
        <v>22</v>
      </c>
      <c r="C253" s="24" t="str">
        <f t="shared" si="107"/>
        <v>Back full metal panel</v>
      </c>
      <c r="X253" t="str">
        <f t="shared" si="106"/>
        <v>42U600x1200Back full metal panel</v>
      </c>
      <c r="Z253" s="22">
        <f t="shared" si="108"/>
        <v>28.5</v>
      </c>
      <c r="AA253" s="55">
        <f t="shared" si="83"/>
        <v>0</v>
      </c>
      <c r="AC253" s="23" t="s">
        <v>10</v>
      </c>
      <c r="AD253" s="9"/>
      <c r="AE253" s="8">
        <v>28.5</v>
      </c>
    </row>
    <row r="254" spans="1:31" ht="15.75" x14ac:dyDescent="0.25">
      <c r="A254" t="s">
        <v>2</v>
      </c>
      <c r="B254" t="s">
        <v>22</v>
      </c>
      <c r="C254" s="24" t="str">
        <f t="shared" si="107"/>
        <v>Perforated back wall metal</v>
      </c>
      <c r="D254" s="54"/>
      <c r="Y254" t="str">
        <f t="shared" ref="Y254:Y255" si="109">A254&amp;B254&amp;D254</f>
        <v>42U600x1200</v>
      </c>
      <c r="Z254" s="22">
        <f t="shared" si="108"/>
        <v>36</v>
      </c>
      <c r="AA254" s="55">
        <f t="shared" si="83"/>
        <v>0</v>
      </c>
      <c r="AC254" s="23" t="s">
        <v>11</v>
      </c>
      <c r="AD254" s="9"/>
      <c r="AE254" s="8">
        <v>36</v>
      </c>
    </row>
    <row r="255" spans="1:31" ht="15.75" x14ac:dyDescent="0.25">
      <c r="A255" t="s">
        <v>2</v>
      </c>
      <c r="B255" t="s">
        <v>22</v>
      </c>
      <c r="C255" s="1" t="s">
        <v>38</v>
      </c>
      <c r="D255" s="54" t="str">
        <f t="shared" ref="D255:D256" si="110">AC255</f>
        <v>metal side panel</v>
      </c>
      <c r="Y255" t="str">
        <f t="shared" si="109"/>
        <v>42U600x1200metal side panel</v>
      </c>
      <c r="Z255" s="22">
        <f t="shared" si="108"/>
        <v>35</v>
      </c>
      <c r="AA255" s="55">
        <f t="shared" si="83"/>
        <v>0</v>
      </c>
      <c r="AC255" s="23" t="s">
        <v>20</v>
      </c>
      <c r="AD255" s="9"/>
      <c r="AE255" s="8">
        <v>35</v>
      </c>
    </row>
    <row r="256" spans="1:31" ht="15.75" x14ac:dyDescent="0.25">
      <c r="A256" t="s">
        <v>2</v>
      </c>
      <c r="B256" t="s">
        <v>22</v>
      </c>
      <c r="C256" s="1" t="s">
        <v>38</v>
      </c>
      <c r="D256" s="54" t="str">
        <f t="shared" si="110"/>
        <v>perforated side panel</v>
      </c>
      <c r="Z256" s="22">
        <f t="shared" si="108"/>
        <v>48</v>
      </c>
      <c r="AA256" s="55">
        <f t="shared" si="83"/>
        <v>0</v>
      </c>
      <c r="AC256" s="23" t="s">
        <v>21</v>
      </c>
      <c r="AD256" s="9"/>
      <c r="AE256" s="8">
        <v>48</v>
      </c>
    </row>
    <row r="257" spans="1:31" ht="15.75" x14ac:dyDescent="0.25">
      <c r="A257" t="s">
        <v>2</v>
      </c>
      <c r="B257" t="s">
        <v>22</v>
      </c>
      <c r="C257" s="1" t="s">
        <v>38</v>
      </c>
      <c r="Z257" s="56">
        <f t="shared" si="108"/>
        <v>10.5</v>
      </c>
      <c r="AA257" s="55">
        <f t="shared" si="83"/>
        <v>2</v>
      </c>
      <c r="AC257" s="23" t="s">
        <v>14</v>
      </c>
      <c r="AD257" s="9"/>
      <c r="AE257" s="8">
        <v>10.5</v>
      </c>
    </row>
    <row r="258" spans="1:31" ht="15.75" x14ac:dyDescent="0.25">
      <c r="A258" t="s">
        <v>2</v>
      </c>
      <c r="B258" t="s">
        <v>23</v>
      </c>
      <c r="C258" s="18" t="s">
        <v>38</v>
      </c>
      <c r="AA258" s="55">
        <f t="shared" si="83"/>
        <v>0</v>
      </c>
      <c r="AC258" s="4" t="s">
        <v>23</v>
      </c>
      <c r="AD258" s="5"/>
      <c r="AE258" s="6"/>
    </row>
    <row r="259" spans="1:31" ht="15.75" x14ac:dyDescent="0.25">
      <c r="A259" t="s">
        <v>2</v>
      </c>
      <c r="B259" t="s">
        <v>23</v>
      </c>
      <c r="C259" s="1" t="s">
        <v>38</v>
      </c>
      <c r="W259" t="str">
        <f>A259&amp;B259</f>
        <v>42U800x1000</v>
      </c>
      <c r="Z259" s="56">
        <f>SUMPRODUCT(AA259:AA269,AE259:AE269)</f>
        <v>166</v>
      </c>
      <c r="AA259" s="55">
        <f t="shared" si="83"/>
        <v>1</v>
      </c>
      <c r="AC259" s="35" t="s">
        <v>4</v>
      </c>
      <c r="AD259" s="7"/>
      <c r="AE259" s="8">
        <v>145</v>
      </c>
    </row>
    <row r="260" spans="1:31" ht="15.75" x14ac:dyDescent="0.25">
      <c r="A260" t="s">
        <v>2</v>
      </c>
      <c r="B260" t="s">
        <v>23</v>
      </c>
      <c r="C260" s="24" t="str">
        <f>AC260</f>
        <v>Perforated door single leaf</v>
      </c>
      <c r="X260" t="str">
        <f t="shared" ref="X260:X265" si="111">A260&amp;B260&amp;C260</f>
        <v>42U800x1000Perforated door single leaf</v>
      </c>
      <c r="Z260" s="22">
        <f>AE260</f>
        <v>76.5</v>
      </c>
      <c r="AA260" s="55">
        <f t="shared" ref="AA260:AA323" si="112">IF(AC260="Frame",1,IF(LEFT(AC260,8)="Mounting",2,0))</f>
        <v>0</v>
      </c>
      <c r="AC260" s="36" t="s">
        <v>5</v>
      </c>
      <c r="AD260" s="9"/>
      <c r="AE260" s="8">
        <v>76.5</v>
      </c>
    </row>
    <row r="261" spans="1:31" ht="15.75" x14ac:dyDescent="0.25">
      <c r="A261" t="s">
        <v>2</v>
      </c>
      <c r="B261" t="s">
        <v>23</v>
      </c>
      <c r="C261" s="24" t="str">
        <f t="shared" ref="C261:C267" si="113">AC261</f>
        <v>Full metal door single leaf</v>
      </c>
      <c r="X261" t="str">
        <f t="shared" si="111"/>
        <v>42U800x1000Full metal door single leaf</v>
      </c>
      <c r="Z261" s="22">
        <f t="shared" ref="Z261:Z269" si="114">AE261</f>
        <v>42.5</v>
      </c>
      <c r="AA261" s="55">
        <f t="shared" si="112"/>
        <v>0</v>
      </c>
      <c r="AC261" s="36" t="s">
        <v>6</v>
      </c>
      <c r="AD261" s="9"/>
      <c r="AE261" s="8">
        <v>42.5</v>
      </c>
    </row>
    <row r="262" spans="1:31" ht="15.75" x14ac:dyDescent="0.25">
      <c r="A262" t="s">
        <v>2</v>
      </c>
      <c r="B262" t="s">
        <v>23</v>
      </c>
      <c r="C262" s="24" t="str">
        <f t="shared" si="113"/>
        <v>Metal-glass door single leaf</v>
      </c>
      <c r="X262" t="str">
        <f t="shared" si="111"/>
        <v>42U800x1000Metal-glass door single leaf</v>
      </c>
      <c r="Z262" s="22">
        <f t="shared" si="114"/>
        <v>48</v>
      </c>
      <c r="AA262" s="55">
        <f t="shared" si="112"/>
        <v>0</v>
      </c>
      <c r="AC262" s="23" t="s">
        <v>7</v>
      </c>
      <c r="AD262" s="9"/>
      <c r="AE262" s="8">
        <v>48</v>
      </c>
    </row>
    <row r="263" spans="1:31" ht="15.75" x14ac:dyDescent="0.25">
      <c r="A263" t="s">
        <v>2</v>
      </c>
      <c r="B263" t="s">
        <v>23</v>
      </c>
      <c r="C263" s="24" t="str">
        <f t="shared" si="113"/>
        <v>Full glass door</v>
      </c>
      <c r="X263" t="str">
        <f t="shared" si="111"/>
        <v>42U800x1000Full glass door</v>
      </c>
      <c r="Z263" s="22">
        <f t="shared" si="114"/>
        <v>25</v>
      </c>
      <c r="AA263" s="55">
        <f t="shared" si="112"/>
        <v>0</v>
      </c>
      <c r="AC263" s="23" t="s">
        <v>8</v>
      </c>
      <c r="AD263" s="9"/>
      <c r="AE263" s="8">
        <v>25</v>
      </c>
    </row>
    <row r="264" spans="1:31" ht="15.75" x14ac:dyDescent="0.25">
      <c r="A264" t="s">
        <v>2</v>
      </c>
      <c r="B264" t="s">
        <v>23</v>
      </c>
      <c r="C264" s="24" t="str">
        <f t="shared" si="113"/>
        <v>Perforated door double leaf</v>
      </c>
      <c r="D264" s="54"/>
      <c r="X264" t="str">
        <f t="shared" si="111"/>
        <v>42U800x1000Perforated door double leaf</v>
      </c>
      <c r="Z264" s="22">
        <f t="shared" si="114"/>
        <v>111</v>
      </c>
      <c r="AA264" s="55">
        <f t="shared" si="112"/>
        <v>0</v>
      </c>
      <c r="AC264" s="10" t="s">
        <v>9</v>
      </c>
      <c r="AD264" s="9"/>
      <c r="AE264" s="8">
        <v>111</v>
      </c>
    </row>
    <row r="265" spans="1:31" ht="15.75" x14ac:dyDescent="0.25">
      <c r="A265" t="s">
        <v>2</v>
      </c>
      <c r="B265" t="s">
        <v>23</v>
      </c>
      <c r="C265" s="24" t="str">
        <f t="shared" si="113"/>
        <v>Back full metal panel</v>
      </c>
      <c r="X265" t="str">
        <f t="shared" si="111"/>
        <v>42U800x1000Back full metal panel</v>
      </c>
      <c r="Z265" s="22">
        <f t="shared" si="114"/>
        <v>29.5</v>
      </c>
      <c r="AA265" s="55">
        <f t="shared" si="112"/>
        <v>0</v>
      </c>
      <c r="AC265" s="23" t="s">
        <v>10</v>
      </c>
      <c r="AD265" s="9"/>
      <c r="AE265" s="8">
        <v>29.5</v>
      </c>
    </row>
    <row r="266" spans="1:31" ht="15.75" x14ac:dyDescent="0.25">
      <c r="A266" t="s">
        <v>2</v>
      </c>
      <c r="B266" t="s">
        <v>23</v>
      </c>
      <c r="C266" s="24" t="str">
        <f t="shared" si="113"/>
        <v>Perforated back wall metal</v>
      </c>
      <c r="D266" s="54"/>
      <c r="Y266" t="str">
        <f t="shared" ref="Y266:Y267" si="115">A266&amp;B266&amp;D266</f>
        <v>42U800x1000</v>
      </c>
      <c r="Z266" s="22">
        <f t="shared" si="114"/>
        <v>42.5</v>
      </c>
      <c r="AA266" s="55">
        <f t="shared" si="112"/>
        <v>0</v>
      </c>
      <c r="AC266" s="23" t="s">
        <v>11</v>
      </c>
      <c r="AD266" s="9"/>
      <c r="AE266" s="8">
        <v>42.5</v>
      </c>
    </row>
    <row r="267" spans="1:31" ht="15.75" x14ac:dyDescent="0.25">
      <c r="A267" t="s">
        <v>2</v>
      </c>
      <c r="B267" t="s">
        <v>23</v>
      </c>
      <c r="C267" s="24" t="str">
        <f t="shared" si="113"/>
        <v>metal side panel</v>
      </c>
      <c r="D267" s="54" t="str">
        <f t="shared" ref="D267:D268" si="116">AC267</f>
        <v>metal side panel</v>
      </c>
      <c r="Y267" t="str">
        <f t="shared" si="115"/>
        <v>42U800x1000metal side panel</v>
      </c>
      <c r="Z267" s="22">
        <f t="shared" si="114"/>
        <v>30</v>
      </c>
      <c r="AA267" s="55">
        <f t="shared" si="112"/>
        <v>0</v>
      </c>
      <c r="AC267" s="23" t="s">
        <v>20</v>
      </c>
      <c r="AD267" s="9"/>
      <c r="AE267" s="8">
        <v>30</v>
      </c>
    </row>
    <row r="268" spans="1:31" ht="15.75" x14ac:dyDescent="0.25">
      <c r="A268" t="s">
        <v>2</v>
      </c>
      <c r="B268" t="s">
        <v>23</v>
      </c>
      <c r="C268" s="1" t="s">
        <v>38</v>
      </c>
      <c r="D268" s="54" t="str">
        <f t="shared" si="116"/>
        <v>perforated side panel</v>
      </c>
      <c r="Z268" s="22">
        <f t="shared" si="114"/>
        <v>45.5</v>
      </c>
      <c r="AA268" s="55">
        <f t="shared" si="112"/>
        <v>0</v>
      </c>
      <c r="AC268" s="23" t="s">
        <v>21</v>
      </c>
      <c r="AD268" s="9"/>
      <c r="AE268" s="8">
        <v>45.5</v>
      </c>
    </row>
    <row r="269" spans="1:31" ht="15.75" x14ac:dyDescent="0.25">
      <c r="A269" t="s">
        <v>2</v>
      </c>
      <c r="B269" t="s">
        <v>23</v>
      </c>
      <c r="C269" s="1" t="s">
        <v>38</v>
      </c>
      <c r="Z269" s="56">
        <f t="shared" si="114"/>
        <v>10.5</v>
      </c>
      <c r="AA269" s="55">
        <f t="shared" si="112"/>
        <v>2</v>
      </c>
      <c r="AC269" s="23" t="s">
        <v>14</v>
      </c>
      <c r="AD269" s="9"/>
      <c r="AE269" s="8">
        <v>10.5</v>
      </c>
    </row>
    <row r="270" spans="1:31" ht="15.75" x14ac:dyDescent="0.25">
      <c r="A270" t="s">
        <v>2</v>
      </c>
      <c r="B270" t="s">
        <v>24</v>
      </c>
      <c r="C270" s="18" t="s">
        <v>38</v>
      </c>
      <c r="AA270" s="55">
        <f t="shared" si="112"/>
        <v>0</v>
      </c>
      <c r="AC270" s="4" t="s">
        <v>24</v>
      </c>
      <c r="AD270" s="5"/>
      <c r="AE270" s="6"/>
    </row>
    <row r="271" spans="1:31" ht="15.75" x14ac:dyDescent="0.25">
      <c r="A271" t="s">
        <v>2</v>
      </c>
      <c r="B271" t="s">
        <v>24</v>
      </c>
      <c r="C271" s="1" t="s">
        <v>38</v>
      </c>
      <c r="W271" t="str">
        <f>A271&amp;B271</f>
        <v>42U800x1200</v>
      </c>
      <c r="Z271" s="56">
        <f>SUMPRODUCT(AA271:AA281,AE271:AE281)</f>
        <v>171</v>
      </c>
      <c r="AA271" s="55">
        <f t="shared" si="112"/>
        <v>1</v>
      </c>
      <c r="AC271" s="35" t="s">
        <v>4</v>
      </c>
      <c r="AD271" s="7"/>
      <c r="AE271" s="8">
        <v>150</v>
      </c>
    </row>
    <row r="272" spans="1:31" ht="15.75" x14ac:dyDescent="0.25">
      <c r="A272" t="s">
        <v>2</v>
      </c>
      <c r="B272" t="s">
        <v>24</v>
      </c>
      <c r="C272" s="24" t="str">
        <f>AC272</f>
        <v>Perforated door single leaf</v>
      </c>
      <c r="X272" t="str">
        <f t="shared" ref="X272:X277" si="117">A272&amp;B272&amp;C272</f>
        <v>42U800x1200Perforated door single leaf</v>
      </c>
      <c r="Z272" s="22">
        <f>AE272</f>
        <v>76.5</v>
      </c>
      <c r="AA272" s="55">
        <f t="shared" si="112"/>
        <v>0</v>
      </c>
      <c r="AC272" s="36" t="s">
        <v>5</v>
      </c>
      <c r="AD272" s="9"/>
      <c r="AE272" s="8">
        <v>76.5</v>
      </c>
    </row>
    <row r="273" spans="1:31" ht="15.75" x14ac:dyDescent="0.25">
      <c r="A273" t="s">
        <v>2</v>
      </c>
      <c r="B273" t="s">
        <v>24</v>
      </c>
      <c r="C273" s="24" t="str">
        <f t="shared" ref="C273:C278" si="118">AC273</f>
        <v>Full metal door single leaf</v>
      </c>
      <c r="X273" t="str">
        <f t="shared" si="117"/>
        <v>42U800x1200Full metal door single leaf</v>
      </c>
      <c r="Z273" s="22">
        <f t="shared" ref="Z273:Z281" si="119">AE273</f>
        <v>42.5</v>
      </c>
      <c r="AA273" s="55">
        <f t="shared" si="112"/>
        <v>0</v>
      </c>
      <c r="AC273" s="36" t="s">
        <v>6</v>
      </c>
      <c r="AD273" s="9"/>
      <c r="AE273" s="8">
        <v>42.5</v>
      </c>
    </row>
    <row r="274" spans="1:31" ht="15.75" x14ac:dyDescent="0.25">
      <c r="A274" t="s">
        <v>2</v>
      </c>
      <c r="B274" t="s">
        <v>24</v>
      </c>
      <c r="C274" s="24" t="str">
        <f t="shared" si="118"/>
        <v>Metal-glass door single leaf</v>
      </c>
      <c r="X274" t="str">
        <f t="shared" si="117"/>
        <v>42U800x1200Metal-glass door single leaf</v>
      </c>
      <c r="Z274" s="22">
        <f t="shared" si="119"/>
        <v>48</v>
      </c>
      <c r="AA274" s="55">
        <f t="shared" si="112"/>
        <v>0</v>
      </c>
      <c r="AC274" s="23" t="s">
        <v>7</v>
      </c>
      <c r="AD274" s="9"/>
      <c r="AE274" s="8">
        <v>48</v>
      </c>
    </row>
    <row r="275" spans="1:31" ht="15.75" x14ac:dyDescent="0.25">
      <c r="A275" t="s">
        <v>2</v>
      </c>
      <c r="B275" t="s">
        <v>24</v>
      </c>
      <c r="C275" s="24" t="str">
        <f t="shared" si="118"/>
        <v>Full glass door</v>
      </c>
      <c r="X275" t="str">
        <f t="shared" si="117"/>
        <v>42U800x1200Full glass door</v>
      </c>
      <c r="Z275" s="22">
        <f t="shared" si="119"/>
        <v>25</v>
      </c>
      <c r="AA275" s="55">
        <f t="shared" si="112"/>
        <v>0</v>
      </c>
      <c r="AC275" s="23" t="s">
        <v>8</v>
      </c>
      <c r="AD275" s="9"/>
      <c r="AE275" s="8">
        <v>25</v>
      </c>
    </row>
    <row r="276" spans="1:31" ht="15.75" x14ac:dyDescent="0.25">
      <c r="A276" t="s">
        <v>2</v>
      </c>
      <c r="B276" t="s">
        <v>24</v>
      </c>
      <c r="C276" s="24" t="str">
        <f t="shared" si="118"/>
        <v>Perforated door double leaf</v>
      </c>
      <c r="D276" s="54"/>
      <c r="X276" t="str">
        <f t="shared" si="117"/>
        <v>42U800x1200Perforated door double leaf</v>
      </c>
      <c r="Z276" s="22">
        <f t="shared" si="119"/>
        <v>111</v>
      </c>
      <c r="AA276" s="55">
        <f t="shared" si="112"/>
        <v>0</v>
      </c>
      <c r="AC276" s="10" t="s">
        <v>9</v>
      </c>
      <c r="AD276" s="9"/>
      <c r="AE276" s="8">
        <v>111</v>
      </c>
    </row>
    <row r="277" spans="1:31" ht="15.75" x14ac:dyDescent="0.25">
      <c r="A277" t="s">
        <v>2</v>
      </c>
      <c r="B277" t="s">
        <v>24</v>
      </c>
      <c r="C277" s="24" t="str">
        <f t="shared" si="118"/>
        <v>Back full metal panel</v>
      </c>
      <c r="X277" t="str">
        <f t="shared" si="117"/>
        <v>42U800x1200Back full metal panel</v>
      </c>
      <c r="Z277" s="22">
        <f t="shared" si="119"/>
        <v>29.5</v>
      </c>
      <c r="AA277" s="55">
        <f t="shared" si="112"/>
        <v>0</v>
      </c>
      <c r="AC277" s="23" t="s">
        <v>10</v>
      </c>
      <c r="AD277" s="9"/>
      <c r="AE277" s="8">
        <v>29.5</v>
      </c>
    </row>
    <row r="278" spans="1:31" ht="15.75" x14ac:dyDescent="0.25">
      <c r="A278" t="s">
        <v>2</v>
      </c>
      <c r="B278" t="s">
        <v>24</v>
      </c>
      <c r="C278" s="24" t="str">
        <f t="shared" si="118"/>
        <v>Perforated back wall metal</v>
      </c>
      <c r="D278" s="54"/>
      <c r="Y278" t="str">
        <f t="shared" ref="Y278:Y279" si="120">A278&amp;B278&amp;D278</f>
        <v>42U800x1200</v>
      </c>
      <c r="Z278" s="22">
        <f t="shared" si="119"/>
        <v>42.4</v>
      </c>
      <c r="AA278" s="55">
        <f t="shared" si="112"/>
        <v>0</v>
      </c>
      <c r="AC278" s="23" t="s">
        <v>11</v>
      </c>
      <c r="AD278" s="9"/>
      <c r="AE278" s="8">
        <v>42.4</v>
      </c>
    </row>
    <row r="279" spans="1:31" ht="15.75" x14ac:dyDescent="0.25">
      <c r="A279" t="s">
        <v>2</v>
      </c>
      <c r="B279" t="s">
        <v>24</v>
      </c>
      <c r="C279" s="1" t="s">
        <v>38</v>
      </c>
      <c r="D279" s="54" t="str">
        <f t="shared" ref="D279:D280" si="121">AC279</f>
        <v>metal side panel</v>
      </c>
      <c r="Y279" t="str">
        <f t="shared" si="120"/>
        <v>42U800x1200metal side panel</v>
      </c>
      <c r="Z279" s="22">
        <f t="shared" si="119"/>
        <v>35.5</v>
      </c>
      <c r="AA279" s="55">
        <f t="shared" si="112"/>
        <v>0</v>
      </c>
      <c r="AC279" s="23" t="s">
        <v>20</v>
      </c>
      <c r="AD279" s="9"/>
      <c r="AE279" s="8">
        <v>35.5</v>
      </c>
    </row>
    <row r="280" spans="1:31" ht="15.75" x14ac:dyDescent="0.25">
      <c r="A280" t="s">
        <v>2</v>
      </c>
      <c r="B280" t="s">
        <v>24</v>
      </c>
      <c r="C280" s="1" t="s">
        <v>38</v>
      </c>
      <c r="D280" s="54" t="str">
        <f t="shared" si="121"/>
        <v>perforated side panel</v>
      </c>
      <c r="Z280" s="22">
        <f t="shared" si="119"/>
        <v>48</v>
      </c>
      <c r="AA280" s="55">
        <f t="shared" si="112"/>
        <v>0</v>
      </c>
      <c r="AC280" s="23" t="s">
        <v>21</v>
      </c>
      <c r="AD280" s="9"/>
      <c r="AE280" s="8">
        <v>48</v>
      </c>
    </row>
    <row r="281" spans="1:31" ht="15.75" x14ac:dyDescent="0.25">
      <c r="A281" t="s">
        <v>2</v>
      </c>
      <c r="B281" t="s">
        <v>24</v>
      </c>
      <c r="C281" s="1" t="s">
        <v>38</v>
      </c>
      <c r="Z281" s="56">
        <f t="shared" si="119"/>
        <v>10.5</v>
      </c>
      <c r="AA281" s="55">
        <f t="shared" si="112"/>
        <v>2</v>
      </c>
      <c r="AC281" s="40" t="s">
        <v>14</v>
      </c>
      <c r="AD281" s="12"/>
      <c r="AE281" s="8">
        <v>10.5</v>
      </c>
    </row>
    <row r="282" spans="1:31" ht="23.25" x14ac:dyDescent="0.35">
      <c r="A282" t="s">
        <v>31</v>
      </c>
      <c r="B282" t="s">
        <v>3</v>
      </c>
      <c r="C282" s="18" t="s">
        <v>38</v>
      </c>
      <c r="AA282" s="55">
        <f t="shared" si="112"/>
        <v>0</v>
      </c>
      <c r="AC282" s="41" t="s">
        <v>31</v>
      </c>
      <c r="AD282" s="42"/>
      <c r="AE282" s="43"/>
    </row>
    <row r="283" spans="1:31" ht="15.75" x14ac:dyDescent="0.25">
      <c r="A283" t="s">
        <v>31</v>
      </c>
      <c r="B283" t="s">
        <v>3</v>
      </c>
      <c r="C283" s="18" t="s">
        <v>38</v>
      </c>
      <c r="AA283" s="55">
        <f t="shared" si="112"/>
        <v>0</v>
      </c>
      <c r="AC283" s="34" t="s">
        <v>3</v>
      </c>
      <c r="AD283" s="5"/>
      <c r="AE283" s="6"/>
    </row>
    <row r="284" spans="1:31" ht="15.75" x14ac:dyDescent="0.25">
      <c r="A284" t="s">
        <v>31</v>
      </c>
      <c r="B284" t="s">
        <v>3</v>
      </c>
      <c r="C284" s="1" t="s">
        <v>38</v>
      </c>
      <c r="W284" t="str">
        <f>A284&amp;B284</f>
        <v>45U600x600</v>
      </c>
      <c r="Z284" s="56">
        <f>SUMPRODUCT(AA284:AA293,AE284:AE293)</f>
        <v>131</v>
      </c>
      <c r="AA284" s="55">
        <f t="shared" si="112"/>
        <v>1</v>
      </c>
      <c r="AC284" s="29" t="s">
        <v>4</v>
      </c>
      <c r="AD284" s="7"/>
      <c r="AE284" s="8">
        <v>109</v>
      </c>
    </row>
    <row r="285" spans="1:31" ht="15.75" x14ac:dyDescent="0.25">
      <c r="A285" t="s">
        <v>31</v>
      </c>
      <c r="B285" t="s">
        <v>3</v>
      </c>
      <c r="C285" s="24" t="str">
        <f>AC285</f>
        <v>Perforated door single leaf</v>
      </c>
      <c r="X285" t="str">
        <f t="shared" ref="X285:X290" si="122">A285&amp;B285&amp;C285</f>
        <v>45U600x600Perforated door single leaf</v>
      </c>
      <c r="Z285" s="22">
        <f>AE285</f>
        <v>78</v>
      </c>
      <c r="AA285" s="55">
        <f t="shared" si="112"/>
        <v>0</v>
      </c>
      <c r="AC285" s="23" t="s">
        <v>5</v>
      </c>
      <c r="AD285" s="9"/>
      <c r="AE285" s="8">
        <v>78</v>
      </c>
    </row>
    <row r="286" spans="1:31" ht="15.75" x14ac:dyDescent="0.25">
      <c r="A286" t="s">
        <v>31</v>
      </c>
      <c r="B286" t="s">
        <v>3</v>
      </c>
      <c r="C286" s="24" t="str">
        <f t="shared" ref="C286:C290" si="123">AC286</f>
        <v>Full metal door single leaf</v>
      </c>
      <c r="X286" t="str">
        <f t="shared" si="122"/>
        <v>45U600x600Full metal door single leaf</v>
      </c>
      <c r="Z286" s="22">
        <f t="shared" ref="Z286:Z293" si="124">AE286</f>
        <v>41</v>
      </c>
      <c r="AA286" s="55">
        <f t="shared" si="112"/>
        <v>0</v>
      </c>
      <c r="AC286" s="23" t="s">
        <v>6</v>
      </c>
      <c r="AD286" s="9"/>
      <c r="AE286" s="8">
        <v>41</v>
      </c>
    </row>
    <row r="287" spans="1:31" ht="15.75" x14ac:dyDescent="0.25">
      <c r="A287" t="s">
        <v>31</v>
      </c>
      <c r="B287" t="s">
        <v>3</v>
      </c>
      <c r="C287" s="24" t="str">
        <f t="shared" si="123"/>
        <v>Metal-glass door single leaf</v>
      </c>
      <c r="X287" t="str">
        <f t="shared" si="122"/>
        <v>45U600x600Metal-glass door single leaf</v>
      </c>
      <c r="Z287" s="22">
        <f t="shared" si="124"/>
        <v>49</v>
      </c>
      <c r="AA287" s="55">
        <f t="shared" si="112"/>
        <v>0</v>
      </c>
      <c r="AC287" s="23" t="s">
        <v>7</v>
      </c>
      <c r="AD287" s="9"/>
      <c r="AE287" s="8">
        <v>49</v>
      </c>
    </row>
    <row r="288" spans="1:31" ht="15.75" x14ac:dyDescent="0.25">
      <c r="A288" t="s">
        <v>31</v>
      </c>
      <c r="B288" t="s">
        <v>3</v>
      </c>
      <c r="C288" s="24" t="str">
        <f t="shared" si="123"/>
        <v>Perforated door double leaf</v>
      </c>
      <c r="X288" t="str">
        <f t="shared" si="122"/>
        <v>45U600x600Perforated door double leaf</v>
      </c>
      <c r="Z288" s="22">
        <f t="shared" si="124"/>
        <v>86.5</v>
      </c>
      <c r="AA288" s="55">
        <f t="shared" si="112"/>
        <v>0</v>
      </c>
      <c r="AC288" s="44" t="s">
        <v>9</v>
      </c>
      <c r="AD288" s="9"/>
      <c r="AE288" s="8">
        <v>86.5</v>
      </c>
    </row>
    <row r="289" spans="1:31" ht="15.75" x14ac:dyDescent="0.25">
      <c r="A289" t="s">
        <v>31</v>
      </c>
      <c r="B289" t="s">
        <v>3</v>
      </c>
      <c r="C289" s="24" t="str">
        <f t="shared" si="123"/>
        <v>Back full metal panel</v>
      </c>
      <c r="D289" s="54"/>
      <c r="X289" t="str">
        <f t="shared" si="122"/>
        <v>45U600x600Back full metal panel</v>
      </c>
      <c r="Z289" s="22">
        <f t="shared" si="124"/>
        <v>17.5</v>
      </c>
      <c r="AA289" s="55">
        <f t="shared" si="112"/>
        <v>0</v>
      </c>
      <c r="AC289" s="23" t="s">
        <v>10</v>
      </c>
      <c r="AD289" s="9"/>
      <c r="AE289" s="8">
        <v>17.5</v>
      </c>
    </row>
    <row r="290" spans="1:31" ht="15.75" x14ac:dyDescent="0.25">
      <c r="A290" t="s">
        <v>31</v>
      </c>
      <c r="B290" t="s">
        <v>3</v>
      </c>
      <c r="C290" s="24" t="str">
        <f t="shared" si="123"/>
        <v>Perforated back wall metal</v>
      </c>
      <c r="X290" t="str">
        <f t="shared" si="122"/>
        <v>45U600x600Perforated back wall metal</v>
      </c>
      <c r="Z290" s="22">
        <f t="shared" si="124"/>
        <v>39</v>
      </c>
      <c r="AA290" s="55">
        <f t="shared" si="112"/>
        <v>0</v>
      </c>
      <c r="AC290" s="44" t="s">
        <v>11</v>
      </c>
      <c r="AD290" s="9"/>
      <c r="AE290" s="8">
        <v>39</v>
      </c>
    </row>
    <row r="291" spans="1:31" ht="15.75" x14ac:dyDescent="0.25">
      <c r="A291" t="s">
        <v>31</v>
      </c>
      <c r="B291" t="s">
        <v>3</v>
      </c>
      <c r="C291" s="1" t="s">
        <v>38</v>
      </c>
      <c r="D291" s="54" t="str">
        <f t="shared" ref="D291:D292" si="125">AC291</f>
        <v xml:space="preserve">metal side panel full metal 1 pc </v>
      </c>
      <c r="Y291" t="str">
        <f t="shared" ref="Y291:Y292" si="126">A291&amp;B291&amp;D291</f>
        <v xml:space="preserve">45U600x600metal side panel full metal 1 pc </v>
      </c>
      <c r="Z291" s="22">
        <f t="shared" si="124"/>
        <v>22.5</v>
      </c>
      <c r="AA291" s="55">
        <f t="shared" si="112"/>
        <v>0</v>
      </c>
      <c r="AC291" s="23" t="s">
        <v>12</v>
      </c>
      <c r="AD291" s="9"/>
      <c r="AE291" s="8">
        <v>22.5</v>
      </c>
    </row>
    <row r="292" spans="1:31" ht="15.75" x14ac:dyDescent="0.25">
      <c r="A292" t="s">
        <v>31</v>
      </c>
      <c r="B292" t="s">
        <v>3</v>
      </c>
      <c r="C292" s="1" t="s">
        <v>38</v>
      </c>
      <c r="D292" s="54" t="str">
        <f t="shared" si="125"/>
        <v xml:space="preserve">perforated side panel </v>
      </c>
      <c r="Y292" t="str">
        <f t="shared" si="126"/>
        <v xml:space="preserve">45U600x600perforated side panel </v>
      </c>
      <c r="Z292" s="22">
        <f t="shared" si="124"/>
        <v>38</v>
      </c>
      <c r="AA292" s="55">
        <f t="shared" si="112"/>
        <v>0</v>
      </c>
      <c r="AC292" s="44" t="s">
        <v>48</v>
      </c>
      <c r="AD292" s="9"/>
      <c r="AE292" s="8">
        <v>38</v>
      </c>
    </row>
    <row r="293" spans="1:31" ht="15.75" x14ac:dyDescent="0.25">
      <c r="A293" t="s">
        <v>31</v>
      </c>
      <c r="B293" t="s">
        <v>3</v>
      </c>
      <c r="C293" s="1" t="s">
        <v>38</v>
      </c>
      <c r="D293" s="54"/>
      <c r="Z293" s="56">
        <f t="shared" si="124"/>
        <v>11</v>
      </c>
      <c r="AA293" s="55">
        <f t="shared" si="112"/>
        <v>2</v>
      </c>
      <c r="AC293" s="23" t="s">
        <v>14</v>
      </c>
      <c r="AD293" s="9"/>
      <c r="AE293" s="8">
        <v>11</v>
      </c>
    </row>
    <row r="294" spans="1:31" ht="15.75" x14ac:dyDescent="0.25">
      <c r="A294" t="s">
        <v>31</v>
      </c>
      <c r="B294" t="s">
        <v>15</v>
      </c>
      <c r="C294" s="18" t="s">
        <v>38</v>
      </c>
      <c r="Z294" s="57"/>
      <c r="AA294" s="55">
        <f t="shared" si="112"/>
        <v>0</v>
      </c>
      <c r="AC294" s="4" t="s">
        <v>15</v>
      </c>
      <c r="AD294" s="5"/>
      <c r="AE294" s="6"/>
    </row>
    <row r="295" spans="1:31" ht="15.75" x14ac:dyDescent="0.25">
      <c r="A295" t="s">
        <v>31</v>
      </c>
      <c r="B295" t="s">
        <v>15</v>
      </c>
      <c r="C295" s="1" t="s">
        <v>38</v>
      </c>
      <c r="W295" t="str">
        <f>A295&amp;B295</f>
        <v>45U600x800</v>
      </c>
      <c r="Z295" s="56">
        <f>SUMPRODUCT(AA295:AA304,AE295:AE304)</f>
        <v>172.5</v>
      </c>
      <c r="AA295" s="55">
        <f t="shared" si="112"/>
        <v>1</v>
      </c>
      <c r="AC295" s="35" t="s">
        <v>4</v>
      </c>
      <c r="AD295" s="7"/>
      <c r="AE295" s="8">
        <v>150.5</v>
      </c>
    </row>
    <row r="296" spans="1:31" ht="15.75" x14ac:dyDescent="0.25">
      <c r="A296" t="s">
        <v>31</v>
      </c>
      <c r="B296" t="s">
        <v>15</v>
      </c>
      <c r="C296" s="24" t="str">
        <f>AC296</f>
        <v>Perforated door single leaf</v>
      </c>
      <c r="X296" t="str">
        <f t="shared" ref="X296:X301" si="127">A296&amp;B296&amp;C296</f>
        <v>45U600x800Perforated door single leaf</v>
      </c>
      <c r="Z296" s="22">
        <f>AE296</f>
        <v>78</v>
      </c>
      <c r="AA296" s="55">
        <f t="shared" si="112"/>
        <v>0</v>
      </c>
      <c r="AC296" s="36" t="s">
        <v>5</v>
      </c>
      <c r="AD296" s="9"/>
      <c r="AE296" s="8">
        <v>78</v>
      </c>
    </row>
    <row r="297" spans="1:31" ht="15.75" x14ac:dyDescent="0.25">
      <c r="A297" t="s">
        <v>31</v>
      </c>
      <c r="B297" t="s">
        <v>15</v>
      </c>
      <c r="C297" s="24" t="str">
        <f t="shared" ref="C297:C301" si="128">AC297</f>
        <v>Full metal door single leaf</v>
      </c>
      <c r="X297" t="str">
        <f t="shared" si="127"/>
        <v>45U600x800Full metal door single leaf</v>
      </c>
      <c r="Z297" s="22">
        <f t="shared" ref="Z297:Z304" si="129">AE297</f>
        <v>41</v>
      </c>
      <c r="AA297" s="55">
        <f t="shared" si="112"/>
        <v>0</v>
      </c>
      <c r="AC297" s="36" t="s">
        <v>6</v>
      </c>
      <c r="AD297" s="9"/>
      <c r="AE297" s="8">
        <v>41</v>
      </c>
    </row>
    <row r="298" spans="1:31" ht="15.75" x14ac:dyDescent="0.25">
      <c r="A298" t="s">
        <v>31</v>
      </c>
      <c r="B298" t="s">
        <v>15</v>
      </c>
      <c r="C298" s="24" t="str">
        <f t="shared" si="128"/>
        <v>Metal-glass door single leaf</v>
      </c>
      <c r="X298" t="str">
        <f t="shared" si="127"/>
        <v>45U600x800Metal-glass door single leaf</v>
      </c>
      <c r="Z298" s="22">
        <f t="shared" si="129"/>
        <v>49</v>
      </c>
      <c r="AA298" s="55">
        <f t="shared" si="112"/>
        <v>0</v>
      </c>
      <c r="AC298" s="36" t="s">
        <v>7</v>
      </c>
      <c r="AD298" s="9"/>
      <c r="AE298" s="8">
        <v>49</v>
      </c>
    </row>
    <row r="299" spans="1:31" ht="15.75" x14ac:dyDescent="0.25">
      <c r="A299" t="s">
        <v>31</v>
      </c>
      <c r="B299" t="s">
        <v>15</v>
      </c>
      <c r="C299" s="24" t="str">
        <f t="shared" si="128"/>
        <v>Perforated door double leaf</v>
      </c>
      <c r="X299" t="str">
        <f t="shared" si="127"/>
        <v>45U600x800Perforated door double leaf</v>
      </c>
      <c r="Z299" s="22">
        <f t="shared" si="129"/>
        <v>86.5</v>
      </c>
      <c r="AA299" s="55">
        <f t="shared" si="112"/>
        <v>0</v>
      </c>
      <c r="AC299" s="10" t="s">
        <v>9</v>
      </c>
      <c r="AD299" s="9"/>
      <c r="AE299" s="8">
        <v>86.5</v>
      </c>
    </row>
    <row r="300" spans="1:31" ht="15.75" x14ac:dyDescent="0.25">
      <c r="A300" t="s">
        <v>31</v>
      </c>
      <c r="B300" t="s">
        <v>15</v>
      </c>
      <c r="C300" s="24" t="str">
        <f t="shared" si="128"/>
        <v>Back full metal panel</v>
      </c>
      <c r="D300" s="54"/>
      <c r="X300" t="str">
        <f t="shared" si="127"/>
        <v>45U600x800Back full metal panel</v>
      </c>
      <c r="Z300" s="22">
        <f t="shared" si="129"/>
        <v>18.5</v>
      </c>
      <c r="AA300" s="55">
        <f t="shared" si="112"/>
        <v>0</v>
      </c>
      <c r="AC300" s="36" t="s">
        <v>10</v>
      </c>
      <c r="AD300" s="9"/>
      <c r="AE300" s="8">
        <v>18.5</v>
      </c>
    </row>
    <row r="301" spans="1:31" ht="15.75" x14ac:dyDescent="0.25">
      <c r="A301" t="s">
        <v>31</v>
      </c>
      <c r="B301" t="s">
        <v>15</v>
      </c>
      <c r="C301" s="24" t="str">
        <f t="shared" si="128"/>
        <v>Perforated back wall metal</v>
      </c>
      <c r="X301" t="str">
        <f t="shared" si="127"/>
        <v>45U600x800Perforated back wall metal</v>
      </c>
      <c r="Z301" s="22">
        <f t="shared" si="129"/>
        <v>39</v>
      </c>
      <c r="AA301" s="55">
        <f t="shared" si="112"/>
        <v>0</v>
      </c>
      <c r="AC301" s="10" t="s">
        <v>11</v>
      </c>
      <c r="AD301" s="9"/>
      <c r="AE301" s="8">
        <v>39</v>
      </c>
    </row>
    <row r="302" spans="1:31" ht="15.75" x14ac:dyDescent="0.25">
      <c r="A302" t="s">
        <v>31</v>
      </c>
      <c r="B302" t="s">
        <v>15</v>
      </c>
      <c r="C302" s="1" t="s">
        <v>38</v>
      </c>
      <c r="D302" s="54" t="str">
        <f t="shared" ref="D302:D303" si="130">AC302</f>
        <v xml:space="preserve">metal side panel full metal 1 pc </v>
      </c>
      <c r="Y302" t="str">
        <f t="shared" ref="Y302:Y303" si="131">A302&amp;B302&amp;D302</f>
        <v xml:space="preserve">45U600x800metal side panel full metal 1 pc </v>
      </c>
      <c r="Z302" s="22">
        <f t="shared" si="129"/>
        <v>24</v>
      </c>
      <c r="AA302" s="55">
        <f t="shared" si="112"/>
        <v>0</v>
      </c>
      <c r="AC302" s="36" t="s">
        <v>12</v>
      </c>
      <c r="AD302" s="9"/>
      <c r="AE302" s="8">
        <v>24</v>
      </c>
    </row>
    <row r="303" spans="1:31" ht="15.75" x14ac:dyDescent="0.25">
      <c r="A303" t="s">
        <v>31</v>
      </c>
      <c r="B303" t="s">
        <v>15</v>
      </c>
      <c r="C303" s="1" t="s">
        <v>38</v>
      </c>
      <c r="D303" s="54" t="str">
        <f t="shared" si="130"/>
        <v>metal side panel perforated 1 pc</v>
      </c>
      <c r="Y303" t="str">
        <f t="shared" si="131"/>
        <v>45U600x800metal side panel perforated 1 pc</v>
      </c>
      <c r="Z303" s="22">
        <f t="shared" si="129"/>
        <v>42</v>
      </c>
      <c r="AA303" s="55">
        <f t="shared" si="112"/>
        <v>0</v>
      </c>
      <c r="AC303" s="36" t="s">
        <v>13</v>
      </c>
      <c r="AD303" s="9"/>
      <c r="AE303" s="8">
        <v>42</v>
      </c>
    </row>
    <row r="304" spans="1:31" ht="15.75" x14ac:dyDescent="0.25">
      <c r="A304" t="s">
        <v>31</v>
      </c>
      <c r="B304" t="s">
        <v>15</v>
      </c>
      <c r="C304" s="1" t="s">
        <v>38</v>
      </c>
      <c r="D304" s="54"/>
      <c r="Z304" s="56">
        <f t="shared" si="129"/>
        <v>11</v>
      </c>
      <c r="AA304" s="55">
        <f t="shared" si="112"/>
        <v>2</v>
      </c>
      <c r="AC304" s="45" t="s">
        <v>14</v>
      </c>
      <c r="AD304" s="12"/>
      <c r="AE304" s="8">
        <v>11</v>
      </c>
    </row>
    <row r="305" spans="1:31" ht="15.75" x14ac:dyDescent="0.25">
      <c r="A305" t="s">
        <v>31</v>
      </c>
      <c r="B305" t="s">
        <v>18</v>
      </c>
      <c r="C305" s="18" t="s">
        <v>38</v>
      </c>
      <c r="AA305" s="55">
        <f t="shared" si="112"/>
        <v>0</v>
      </c>
      <c r="AC305" s="34" t="s">
        <v>18</v>
      </c>
      <c r="AD305" s="5"/>
      <c r="AE305" s="6"/>
    </row>
    <row r="306" spans="1:31" ht="15.75" x14ac:dyDescent="0.25">
      <c r="A306" t="s">
        <v>31</v>
      </c>
      <c r="B306" t="s">
        <v>18</v>
      </c>
      <c r="C306" s="1" t="s">
        <v>38</v>
      </c>
      <c r="W306" t="str">
        <f>A306&amp;B306</f>
        <v>45U800x800</v>
      </c>
      <c r="Z306" s="56">
        <f>SUMPRODUCT(AA306:AA315,AE306:AE315)</f>
        <v>155.5</v>
      </c>
      <c r="AA306" s="55">
        <f t="shared" si="112"/>
        <v>1</v>
      </c>
      <c r="AC306" s="29" t="s">
        <v>4</v>
      </c>
      <c r="AD306" s="7"/>
      <c r="AE306" s="8">
        <v>132.5</v>
      </c>
    </row>
    <row r="307" spans="1:31" ht="15.75" x14ac:dyDescent="0.25">
      <c r="A307" t="s">
        <v>31</v>
      </c>
      <c r="B307" t="s">
        <v>18</v>
      </c>
      <c r="C307" s="24" t="str">
        <f>AC307</f>
        <v>Perforated door single leaf</v>
      </c>
      <c r="X307" t="str">
        <f t="shared" ref="X307:X312" si="132">A307&amp;B307&amp;C307</f>
        <v>45U800x800Perforated door single leaf</v>
      </c>
      <c r="Z307" s="22">
        <f>AE307</f>
        <v>91</v>
      </c>
      <c r="AA307" s="55">
        <f t="shared" si="112"/>
        <v>0</v>
      </c>
      <c r="AC307" s="23" t="s">
        <v>5</v>
      </c>
      <c r="AD307" s="9"/>
      <c r="AE307" s="8">
        <v>91</v>
      </c>
    </row>
    <row r="308" spans="1:31" ht="15.75" x14ac:dyDescent="0.25">
      <c r="A308" t="s">
        <v>31</v>
      </c>
      <c r="B308" t="s">
        <v>18</v>
      </c>
      <c r="C308" s="24" t="str">
        <f t="shared" ref="C308:C312" si="133">AC308</f>
        <v>Full metal door single leaf</v>
      </c>
      <c r="X308" t="str">
        <f t="shared" si="132"/>
        <v>45U800x800Full metal door single leaf</v>
      </c>
      <c r="Z308" s="22">
        <f t="shared" ref="Z308:Z315" si="134">AE308</f>
        <v>47.5</v>
      </c>
      <c r="AA308" s="55">
        <f t="shared" si="112"/>
        <v>0</v>
      </c>
      <c r="AC308" s="23" t="s">
        <v>6</v>
      </c>
      <c r="AD308" s="9"/>
      <c r="AE308" s="8">
        <v>47.5</v>
      </c>
    </row>
    <row r="309" spans="1:31" ht="15.75" x14ac:dyDescent="0.25">
      <c r="A309" t="s">
        <v>31</v>
      </c>
      <c r="B309" t="s">
        <v>18</v>
      </c>
      <c r="C309" s="24" t="str">
        <f t="shared" si="133"/>
        <v>Metal-glass door single leaf</v>
      </c>
      <c r="X309" t="str">
        <f t="shared" si="132"/>
        <v>45U800x800Metal-glass door single leaf</v>
      </c>
      <c r="Z309" s="22">
        <f t="shared" si="134"/>
        <v>53.5</v>
      </c>
      <c r="AA309" s="55">
        <f t="shared" si="112"/>
        <v>0</v>
      </c>
      <c r="AC309" s="23" t="s">
        <v>7</v>
      </c>
      <c r="AD309" s="9"/>
      <c r="AE309" s="8">
        <v>53.5</v>
      </c>
    </row>
    <row r="310" spans="1:31" ht="15.75" x14ac:dyDescent="0.25">
      <c r="A310" t="s">
        <v>31</v>
      </c>
      <c r="B310" t="s">
        <v>18</v>
      </c>
      <c r="C310" s="24" t="str">
        <f t="shared" si="133"/>
        <v>Perforated door double leaf</v>
      </c>
      <c r="X310" t="str">
        <f t="shared" si="132"/>
        <v>45U800x800Perforated door double leaf</v>
      </c>
      <c r="Z310" s="22">
        <f t="shared" si="134"/>
        <v>146</v>
      </c>
      <c r="AA310" s="55">
        <f t="shared" si="112"/>
        <v>0</v>
      </c>
      <c r="AC310" s="44" t="s">
        <v>9</v>
      </c>
      <c r="AD310" s="9"/>
      <c r="AE310" s="8">
        <v>146</v>
      </c>
    </row>
    <row r="311" spans="1:31" ht="15.75" x14ac:dyDescent="0.25">
      <c r="A311" t="s">
        <v>31</v>
      </c>
      <c r="B311" t="s">
        <v>18</v>
      </c>
      <c r="C311" s="24" t="str">
        <f t="shared" si="133"/>
        <v>Back full metal panel</v>
      </c>
      <c r="D311" s="54"/>
      <c r="X311" t="str">
        <f t="shared" si="132"/>
        <v>45U800x800Back full metal panel</v>
      </c>
      <c r="Z311" s="22">
        <f t="shared" si="134"/>
        <v>22.5</v>
      </c>
      <c r="AA311" s="55">
        <f t="shared" si="112"/>
        <v>0</v>
      </c>
      <c r="AC311" s="23" t="s">
        <v>10</v>
      </c>
      <c r="AD311" s="9"/>
      <c r="AE311" s="8">
        <v>22.5</v>
      </c>
    </row>
    <row r="312" spans="1:31" ht="15.75" x14ac:dyDescent="0.25">
      <c r="A312" t="s">
        <v>31</v>
      </c>
      <c r="B312" t="s">
        <v>18</v>
      </c>
      <c r="C312" s="24" t="str">
        <f t="shared" si="133"/>
        <v>Perforated back wall metal</v>
      </c>
      <c r="X312" t="str">
        <f t="shared" si="132"/>
        <v>45U800x800Perforated back wall metal</v>
      </c>
      <c r="Z312" s="22">
        <f t="shared" si="134"/>
        <v>47</v>
      </c>
      <c r="AA312" s="55">
        <f t="shared" si="112"/>
        <v>0</v>
      </c>
      <c r="AC312" s="44" t="s">
        <v>11</v>
      </c>
      <c r="AD312" s="9"/>
      <c r="AE312" s="8">
        <v>47</v>
      </c>
    </row>
    <row r="313" spans="1:31" ht="15.75" x14ac:dyDescent="0.25">
      <c r="A313" t="s">
        <v>31</v>
      </c>
      <c r="B313" t="s">
        <v>18</v>
      </c>
      <c r="C313" s="1" t="s">
        <v>38</v>
      </c>
      <c r="D313" s="54" t="str">
        <f t="shared" ref="D313:D314" si="135">AC313</f>
        <v xml:space="preserve">metal side panel full metal 1 pc </v>
      </c>
      <c r="Y313" t="str">
        <f t="shared" ref="Y313:Y314" si="136">A313&amp;B313&amp;D313</f>
        <v xml:space="preserve">45U800x800metal side panel full metal 1 pc </v>
      </c>
      <c r="Z313" s="22">
        <f t="shared" si="134"/>
        <v>24</v>
      </c>
      <c r="AA313" s="55">
        <f t="shared" si="112"/>
        <v>0</v>
      </c>
      <c r="AC313" s="23" t="s">
        <v>12</v>
      </c>
      <c r="AD313" s="9"/>
      <c r="AE313" s="8">
        <v>24</v>
      </c>
    </row>
    <row r="314" spans="1:31" ht="15.75" x14ac:dyDescent="0.25">
      <c r="A314" t="s">
        <v>31</v>
      </c>
      <c r="B314" t="s">
        <v>18</v>
      </c>
      <c r="C314" s="1" t="s">
        <v>38</v>
      </c>
      <c r="D314" s="54" t="str">
        <f t="shared" si="135"/>
        <v xml:space="preserve">perforated side panel </v>
      </c>
      <c r="Y314" t="str">
        <f t="shared" si="136"/>
        <v xml:space="preserve">45U800x800perforated side panel </v>
      </c>
      <c r="Z314" s="22">
        <f t="shared" si="134"/>
        <v>44</v>
      </c>
      <c r="AA314" s="55">
        <f t="shared" si="112"/>
        <v>0</v>
      </c>
      <c r="AC314" s="44" t="s">
        <v>48</v>
      </c>
      <c r="AD314" s="9"/>
      <c r="AE314" s="8">
        <v>44</v>
      </c>
    </row>
    <row r="315" spans="1:31" ht="15.75" x14ac:dyDescent="0.25">
      <c r="A315" t="s">
        <v>31</v>
      </c>
      <c r="B315" t="s">
        <v>18</v>
      </c>
      <c r="C315" s="1" t="s">
        <v>38</v>
      </c>
      <c r="D315" s="54"/>
      <c r="Z315" s="56">
        <f t="shared" si="134"/>
        <v>11.5</v>
      </c>
      <c r="AA315" s="55">
        <f t="shared" si="112"/>
        <v>2</v>
      </c>
      <c r="AC315" s="23" t="s">
        <v>14</v>
      </c>
      <c r="AD315" s="9"/>
      <c r="AE315" s="8">
        <v>11.5</v>
      </c>
    </row>
    <row r="316" spans="1:31" ht="15.75" x14ac:dyDescent="0.25">
      <c r="A316" t="s">
        <v>31</v>
      </c>
      <c r="B316" t="s">
        <v>19</v>
      </c>
      <c r="C316" s="18" t="s">
        <v>38</v>
      </c>
      <c r="AA316" s="55">
        <f t="shared" si="112"/>
        <v>0</v>
      </c>
      <c r="AC316" s="34" t="s">
        <v>19</v>
      </c>
      <c r="AD316" s="5"/>
      <c r="AE316" s="6"/>
    </row>
    <row r="317" spans="1:31" ht="15.75" x14ac:dyDescent="0.25">
      <c r="A317" t="s">
        <v>31</v>
      </c>
      <c r="B317" t="s">
        <v>19</v>
      </c>
      <c r="C317" s="1" t="s">
        <v>38</v>
      </c>
      <c r="W317" t="str">
        <f>A317&amp;B317</f>
        <v>45U600x1000</v>
      </c>
      <c r="Z317" s="56">
        <f>SUMPRODUCT(AA317:AA326,AE317:AE326)</f>
        <v>143.5</v>
      </c>
      <c r="AA317" s="55">
        <f t="shared" si="112"/>
        <v>1</v>
      </c>
      <c r="AC317" s="29" t="s">
        <v>4</v>
      </c>
      <c r="AD317" s="7"/>
      <c r="AE317" s="8">
        <v>120.5</v>
      </c>
    </row>
    <row r="318" spans="1:31" ht="15.75" x14ac:dyDescent="0.25">
      <c r="A318" t="s">
        <v>31</v>
      </c>
      <c r="B318" t="s">
        <v>19</v>
      </c>
      <c r="C318" s="24" t="str">
        <f>AC318</f>
        <v>Perforated door single leaf</v>
      </c>
      <c r="X318" t="str">
        <f t="shared" ref="X318:X323" si="137">A318&amp;B318&amp;C318</f>
        <v>45U600x1000Perforated door single leaf</v>
      </c>
      <c r="Z318" s="22">
        <f>AE318</f>
        <v>78</v>
      </c>
      <c r="AA318" s="55">
        <f t="shared" si="112"/>
        <v>0</v>
      </c>
      <c r="AC318" s="23" t="s">
        <v>5</v>
      </c>
      <c r="AD318" s="9"/>
      <c r="AE318" s="8">
        <v>78</v>
      </c>
    </row>
    <row r="319" spans="1:31" ht="15.75" x14ac:dyDescent="0.25">
      <c r="A319" t="s">
        <v>31</v>
      </c>
      <c r="B319" t="s">
        <v>19</v>
      </c>
      <c r="C319" s="24" t="str">
        <f t="shared" ref="C319:C323" si="138">AC319</f>
        <v>Full metal door single leaf</v>
      </c>
      <c r="X319" t="str">
        <f t="shared" si="137"/>
        <v>45U600x1000Full metal door single leaf</v>
      </c>
      <c r="Z319" s="22">
        <f t="shared" ref="Z319:Z326" si="139">AE319</f>
        <v>41</v>
      </c>
      <c r="AA319" s="55">
        <f t="shared" si="112"/>
        <v>0</v>
      </c>
      <c r="AC319" s="23" t="s">
        <v>6</v>
      </c>
      <c r="AD319" s="9"/>
      <c r="AE319" s="8">
        <v>41</v>
      </c>
    </row>
    <row r="320" spans="1:31" ht="15.75" x14ac:dyDescent="0.25">
      <c r="A320" t="s">
        <v>31</v>
      </c>
      <c r="B320" t="s">
        <v>19</v>
      </c>
      <c r="C320" s="24" t="str">
        <f t="shared" si="138"/>
        <v>Metal-glass door single leaf</v>
      </c>
      <c r="X320" t="str">
        <f t="shared" si="137"/>
        <v>45U600x1000Metal-glass door single leaf</v>
      </c>
      <c r="Z320" s="22">
        <f t="shared" si="139"/>
        <v>49</v>
      </c>
      <c r="AA320" s="55">
        <f t="shared" si="112"/>
        <v>0</v>
      </c>
      <c r="AC320" s="23" t="s">
        <v>7</v>
      </c>
      <c r="AD320" s="9"/>
      <c r="AE320" s="8">
        <v>49</v>
      </c>
    </row>
    <row r="321" spans="1:31" ht="15.75" x14ac:dyDescent="0.25">
      <c r="A321" t="s">
        <v>31</v>
      </c>
      <c r="B321" t="s">
        <v>19</v>
      </c>
      <c r="C321" s="24" t="str">
        <f t="shared" si="138"/>
        <v>Perforated door double leaf</v>
      </c>
      <c r="X321" t="str">
        <f t="shared" si="137"/>
        <v>45U600x1000Perforated door double leaf</v>
      </c>
      <c r="Z321" s="22">
        <f t="shared" si="139"/>
        <v>86.5</v>
      </c>
      <c r="AA321" s="55">
        <f t="shared" si="112"/>
        <v>0</v>
      </c>
      <c r="AC321" s="44" t="s">
        <v>9</v>
      </c>
      <c r="AD321" s="9"/>
      <c r="AE321" s="8">
        <v>86.5</v>
      </c>
    </row>
    <row r="322" spans="1:31" ht="15.75" x14ac:dyDescent="0.25">
      <c r="A322" t="s">
        <v>31</v>
      </c>
      <c r="B322" t="s">
        <v>19</v>
      </c>
      <c r="C322" s="24" t="str">
        <f t="shared" si="138"/>
        <v>Back full metal panel</v>
      </c>
      <c r="D322" s="54"/>
      <c r="X322" t="str">
        <f t="shared" si="137"/>
        <v>45U600x1000Back full metal panel</v>
      </c>
      <c r="Z322" s="22">
        <f t="shared" si="139"/>
        <v>18.5</v>
      </c>
      <c r="AA322" s="55">
        <f t="shared" si="112"/>
        <v>0</v>
      </c>
      <c r="AC322" s="23" t="s">
        <v>10</v>
      </c>
      <c r="AD322" s="9"/>
      <c r="AE322" s="8">
        <v>18.5</v>
      </c>
    </row>
    <row r="323" spans="1:31" ht="15.75" x14ac:dyDescent="0.25">
      <c r="A323" t="s">
        <v>31</v>
      </c>
      <c r="B323" t="s">
        <v>19</v>
      </c>
      <c r="C323" s="24" t="str">
        <f t="shared" si="138"/>
        <v>Perforated back wall metal</v>
      </c>
      <c r="X323" t="str">
        <f t="shared" si="137"/>
        <v>45U600x1000Perforated back wall metal</v>
      </c>
      <c r="Z323" s="22">
        <f t="shared" si="139"/>
        <v>39</v>
      </c>
      <c r="AA323" s="55">
        <f t="shared" si="112"/>
        <v>0</v>
      </c>
      <c r="AC323" s="44" t="s">
        <v>11</v>
      </c>
      <c r="AD323" s="9"/>
      <c r="AE323" s="8">
        <v>39</v>
      </c>
    </row>
    <row r="324" spans="1:31" ht="15.75" x14ac:dyDescent="0.25">
      <c r="A324" t="s">
        <v>31</v>
      </c>
      <c r="B324" t="s">
        <v>19</v>
      </c>
      <c r="C324" s="1" t="s">
        <v>38</v>
      </c>
      <c r="D324" s="54" t="str">
        <f t="shared" ref="D324:D325" si="140">AC324</f>
        <v xml:space="preserve">metal side panel full metal 1 pc </v>
      </c>
      <c r="Y324" t="str">
        <f t="shared" ref="Y324:Y325" si="141">A324&amp;B324&amp;D324</f>
        <v xml:space="preserve">45U600x1000metal side panel full metal 1 pc </v>
      </c>
      <c r="Z324" s="22">
        <f t="shared" si="139"/>
        <v>32</v>
      </c>
      <c r="AA324" s="55">
        <f t="shared" ref="AA324:AA387" si="142">IF(AC324="Frame",1,IF(LEFT(AC324,8)="Mounting",2,0))</f>
        <v>0</v>
      </c>
      <c r="AC324" s="23" t="s">
        <v>12</v>
      </c>
      <c r="AD324" s="9"/>
      <c r="AE324" s="8">
        <v>32</v>
      </c>
    </row>
    <row r="325" spans="1:31" ht="15.75" x14ac:dyDescent="0.25">
      <c r="A325" t="s">
        <v>31</v>
      </c>
      <c r="B325" t="s">
        <v>19</v>
      </c>
      <c r="C325" s="1" t="s">
        <v>38</v>
      </c>
      <c r="D325" s="54" t="str">
        <f t="shared" si="140"/>
        <v xml:space="preserve">perforated side panel </v>
      </c>
      <c r="Y325" t="str">
        <f t="shared" si="141"/>
        <v xml:space="preserve">45U600x1000perforated side panel </v>
      </c>
      <c r="Z325" s="22">
        <f t="shared" si="139"/>
        <v>47.5</v>
      </c>
      <c r="AA325" s="55">
        <f t="shared" si="142"/>
        <v>0</v>
      </c>
      <c r="AC325" s="44" t="s">
        <v>48</v>
      </c>
      <c r="AD325" s="9"/>
      <c r="AE325" s="8">
        <v>47.5</v>
      </c>
    </row>
    <row r="326" spans="1:31" ht="15.75" x14ac:dyDescent="0.25">
      <c r="A326" t="s">
        <v>31</v>
      </c>
      <c r="B326" t="s">
        <v>19</v>
      </c>
      <c r="C326" s="1" t="s">
        <v>38</v>
      </c>
      <c r="D326" s="54"/>
      <c r="Z326" s="56">
        <f t="shared" si="139"/>
        <v>11.5</v>
      </c>
      <c r="AA326" s="55">
        <f t="shared" si="142"/>
        <v>2</v>
      </c>
      <c r="AC326" s="23" t="s">
        <v>14</v>
      </c>
      <c r="AD326" s="9"/>
      <c r="AE326" s="8">
        <v>11.5</v>
      </c>
    </row>
    <row r="327" spans="1:31" ht="15.75" x14ac:dyDescent="0.25">
      <c r="A327" t="s">
        <v>31</v>
      </c>
      <c r="B327" t="s">
        <v>22</v>
      </c>
      <c r="C327" s="18" t="s">
        <v>38</v>
      </c>
      <c r="AA327" s="55">
        <f t="shared" si="142"/>
        <v>0</v>
      </c>
      <c r="AC327" s="34" t="s">
        <v>22</v>
      </c>
      <c r="AD327" s="5"/>
      <c r="AE327" s="6"/>
    </row>
    <row r="328" spans="1:31" ht="15.75" x14ac:dyDescent="0.25">
      <c r="A328" t="s">
        <v>31</v>
      </c>
      <c r="B328" t="s">
        <v>22</v>
      </c>
      <c r="C328" s="1" t="s">
        <v>38</v>
      </c>
      <c r="W328" t="str">
        <f>A328&amp;B328</f>
        <v>45U600x1200</v>
      </c>
      <c r="Z328" s="56">
        <f>SUMPRODUCT(AA328:AA337,AE328:AE337)</f>
        <v>161</v>
      </c>
      <c r="AA328" s="55">
        <f t="shared" si="142"/>
        <v>1</v>
      </c>
      <c r="AC328" s="29" t="s">
        <v>4</v>
      </c>
      <c r="AD328" s="7"/>
      <c r="AE328" s="8">
        <v>138</v>
      </c>
    </row>
    <row r="329" spans="1:31" ht="15.75" x14ac:dyDescent="0.25">
      <c r="A329" t="s">
        <v>31</v>
      </c>
      <c r="B329" t="s">
        <v>22</v>
      </c>
      <c r="C329" s="24" t="str">
        <f>AC329</f>
        <v>Perforated door single leaf</v>
      </c>
      <c r="X329" t="str">
        <f t="shared" ref="X329:X334" si="143">A329&amp;B329&amp;C329</f>
        <v>45U600x1200Perforated door single leaf</v>
      </c>
      <c r="Z329" s="22">
        <f>AE329</f>
        <v>78</v>
      </c>
      <c r="AA329" s="55">
        <f t="shared" si="142"/>
        <v>0</v>
      </c>
      <c r="AC329" s="23" t="s">
        <v>5</v>
      </c>
      <c r="AD329" s="9"/>
      <c r="AE329" s="8">
        <v>78</v>
      </c>
    </row>
    <row r="330" spans="1:31" ht="15.75" x14ac:dyDescent="0.25">
      <c r="A330" t="s">
        <v>31</v>
      </c>
      <c r="B330" t="s">
        <v>22</v>
      </c>
      <c r="C330" s="24" t="str">
        <f t="shared" ref="C330:C334" si="144">AC330</f>
        <v>Full metal door single leaf</v>
      </c>
      <c r="X330" t="str">
        <f t="shared" si="143"/>
        <v>45U600x1200Full metal door single leaf</v>
      </c>
      <c r="Z330" s="22">
        <f t="shared" ref="Z330:Z337" si="145">AE330</f>
        <v>34</v>
      </c>
      <c r="AA330" s="55">
        <f t="shared" si="142"/>
        <v>0</v>
      </c>
      <c r="AC330" s="23" t="s">
        <v>6</v>
      </c>
      <c r="AD330" s="9"/>
      <c r="AE330" s="8">
        <v>34</v>
      </c>
    </row>
    <row r="331" spans="1:31" ht="15.75" x14ac:dyDescent="0.25">
      <c r="A331" t="s">
        <v>31</v>
      </c>
      <c r="B331" t="s">
        <v>22</v>
      </c>
      <c r="C331" s="24" t="str">
        <f t="shared" si="144"/>
        <v>Metal-glass door single leaf</v>
      </c>
      <c r="X331" t="str">
        <f t="shared" si="143"/>
        <v>45U600x1200Metal-glass door single leaf</v>
      </c>
      <c r="Z331" s="22">
        <f t="shared" si="145"/>
        <v>46.5</v>
      </c>
      <c r="AA331" s="55">
        <f t="shared" si="142"/>
        <v>0</v>
      </c>
      <c r="AC331" s="23" t="s">
        <v>7</v>
      </c>
      <c r="AD331" s="9"/>
      <c r="AE331" s="8">
        <v>46.5</v>
      </c>
    </row>
    <row r="332" spans="1:31" ht="15.75" x14ac:dyDescent="0.25">
      <c r="A332" t="s">
        <v>31</v>
      </c>
      <c r="B332" t="s">
        <v>22</v>
      </c>
      <c r="C332" s="24" t="str">
        <f t="shared" si="144"/>
        <v>Perforated door double leaf</v>
      </c>
      <c r="X332" t="str">
        <f t="shared" si="143"/>
        <v>45U600x1200Perforated door double leaf</v>
      </c>
      <c r="Z332" s="22">
        <f t="shared" si="145"/>
        <v>0</v>
      </c>
      <c r="AA332" s="55">
        <f t="shared" si="142"/>
        <v>0</v>
      </c>
      <c r="AC332" s="44" t="s">
        <v>9</v>
      </c>
      <c r="AD332" s="9"/>
      <c r="AE332" s="8">
        <v>0</v>
      </c>
    </row>
    <row r="333" spans="1:31" ht="15.75" x14ac:dyDescent="0.25">
      <c r="A333" t="s">
        <v>31</v>
      </c>
      <c r="B333" t="s">
        <v>22</v>
      </c>
      <c r="C333" s="24" t="str">
        <f t="shared" si="144"/>
        <v>Back full metal panel</v>
      </c>
      <c r="D333" s="54"/>
      <c r="X333" t="str">
        <f t="shared" si="143"/>
        <v>45U600x1200Back full metal panel</v>
      </c>
      <c r="Z333" s="22">
        <f t="shared" si="145"/>
        <v>28.5</v>
      </c>
      <c r="AA333" s="55">
        <f t="shared" si="142"/>
        <v>0</v>
      </c>
      <c r="AC333" s="23" t="s">
        <v>10</v>
      </c>
      <c r="AD333" s="9"/>
      <c r="AE333" s="8">
        <v>28.5</v>
      </c>
    </row>
    <row r="334" spans="1:31" ht="15.75" x14ac:dyDescent="0.25">
      <c r="A334" t="s">
        <v>31</v>
      </c>
      <c r="B334" t="s">
        <v>22</v>
      </c>
      <c r="C334" s="24" t="str">
        <f t="shared" si="144"/>
        <v>Perforated back wall metal</v>
      </c>
      <c r="X334" t="str">
        <f t="shared" si="143"/>
        <v>45U600x1200Perforated back wall metal</v>
      </c>
      <c r="Z334" s="22">
        <f t="shared" si="145"/>
        <v>39</v>
      </c>
      <c r="AA334" s="55">
        <f t="shared" si="142"/>
        <v>0</v>
      </c>
      <c r="AC334" s="44" t="s">
        <v>11</v>
      </c>
      <c r="AD334" s="9"/>
      <c r="AE334" s="8">
        <v>39</v>
      </c>
    </row>
    <row r="335" spans="1:31" ht="15.75" x14ac:dyDescent="0.25">
      <c r="A335" t="s">
        <v>31</v>
      </c>
      <c r="B335" t="s">
        <v>22</v>
      </c>
      <c r="C335" s="1" t="s">
        <v>38</v>
      </c>
      <c r="D335" s="54" t="str">
        <f t="shared" ref="D335:D336" si="146">AC335</f>
        <v xml:space="preserve">metal side panel full metal 1 pc </v>
      </c>
      <c r="Y335" t="str">
        <f t="shared" ref="Y335:Y336" si="147">A335&amp;B335&amp;D335</f>
        <v xml:space="preserve">45U600x1200metal side panel full metal 1 pc </v>
      </c>
      <c r="Z335" s="22">
        <f t="shared" si="145"/>
        <v>35</v>
      </c>
      <c r="AA335" s="55">
        <f t="shared" si="142"/>
        <v>0</v>
      </c>
      <c r="AC335" s="23" t="s">
        <v>12</v>
      </c>
      <c r="AD335" s="9"/>
      <c r="AE335" s="8">
        <v>35</v>
      </c>
    </row>
    <row r="336" spans="1:31" ht="15.75" x14ac:dyDescent="0.25">
      <c r="A336" t="s">
        <v>31</v>
      </c>
      <c r="B336" t="s">
        <v>22</v>
      </c>
      <c r="C336" s="1" t="s">
        <v>38</v>
      </c>
      <c r="D336" s="54" t="str">
        <f t="shared" si="146"/>
        <v xml:space="preserve">perforated side panel </v>
      </c>
      <c r="Y336" t="str">
        <f t="shared" si="147"/>
        <v xml:space="preserve">45U600x1200perforated side panel </v>
      </c>
      <c r="Z336" s="22">
        <f t="shared" si="145"/>
        <v>53</v>
      </c>
      <c r="AA336" s="55">
        <f t="shared" si="142"/>
        <v>0</v>
      </c>
      <c r="AC336" s="44" t="s">
        <v>48</v>
      </c>
      <c r="AD336" s="9"/>
      <c r="AE336" s="8">
        <v>53</v>
      </c>
    </row>
    <row r="337" spans="1:31" ht="15.75" x14ac:dyDescent="0.25">
      <c r="A337" t="s">
        <v>31</v>
      </c>
      <c r="B337" t="s">
        <v>22</v>
      </c>
      <c r="C337" s="1" t="s">
        <v>38</v>
      </c>
      <c r="D337" s="54"/>
      <c r="Z337" s="56">
        <f t="shared" si="145"/>
        <v>11.5</v>
      </c>
      <c r="AA337" s="55">
        <f t="shared" si="142"/>
        <v>2</v>
      </c>
      <c r="AC337" s="23" t="s">
        <v>14</v>
      </c>
      <c r="AD337" s="9"/>
      <c r="AE337" s="8">
        <v>11.5</v>
      </c>
    </row>
    <row r="338" spans="1:31" ht="15.75" x14ac:dyDescent="0.25">
      <c r="A338" t="s">
        <v>31</v>
      </c>
      <c r="B338" t="s">
        <v>23</v>
      </c>
      <c r="C338" s="18" t="s">
        <v>38</v>
      </c>
      <c r="AA338" s="55">
        <f t="shared" si="142"/>
        <v>0</v>
      </c>
      <c r="AC338" s="34" t="s">
        <v>23</v>
      </c>
      <c r="AD338" s="5"/>
      <c r="AE338" s="6"/>
    </row>
    <row r="339" spans="1:31" ht="15.75" x14ac:dyDescent="0.25">
      <c r="A339" t="s">
        <v>31</v>
      </c>
      <c r="B339" t="s">
        <v>23</v>
      </c>
      <c r="C339" s="1" t="s">
        <v>38</v>
      </c>
      <c r="W339" t="str">
        <f>A339&amp;B339</f>
        <v>45U800x1000</v>
      </c>
      <c r="Z339" s="56">
        <f>SUMPRODUCT(AA339:AA348,AE339:AE348)</f>
        <v>172</v>
      </c>
      <c r="AA339" s="55">
        <f t="shared" si="142"/>
        <v>1</v>
      </c>
      <c r="AC339" s="29" t="s">
        <v>4</v>
      </c>
      <c r="AD339" s="7"/>
      <c r="AE339" s="8">
        <v>149</v>
      </c>
    </row>
    <row r="340" spans="1:31" ht="15.75" x14ac:dyDescent="0.25">
      <c r="A340" t="s">
        <v>31</v>
      </c>
      <c r="B340" t="s">
        <v>23</v>
      </c>
      <c r="C340" s="24" t="str">
        <f>AC340</f>
        <v>Perforated door single leaf</v>
      </c>
      <c r="X340" t="str">
        <f t="shared" ref="X340:X345" si="148">A340&amp;B340&amp;C340</f>
        <v>45U800x1000Perforated door single leaf</v>
      </c>
      <c r="Z340" s="22">
        <f>AE340</f>
        <v>91</v>
      </c>
      <c r="AA340" s="55">
        <f t="shared" si="142"/>
        <v>0</v>
      </c>
      <c r="AC340" s="23" t="s">
        <v>5</v>
      </c>
      <c r="AD340" s="9"/>
      <c r="AE340" s="8">
        <v>91</v>
      </c>
    </row>
    <row r="341" spans="1:31" ht="15.75" x14ac:dyDescent="0.25">
      <c r="A341" t="s">
        <v>31</v>
      </c>
      <c r="B341" t="s">
        <v>23</v>
      </c>
      <c r="C341" s="24" t="str">
        <f t="shared" ref="C341:C345" si="149">AC341</f>
        <v>Full metal door single leaf</v>
      </c>
      <c r="X341" t="str">
        <f t="shared" si="148"/>
        <v>45U800x1000Full metal door single leaf</v>
      </c>
      <c r="Z341" s="22">
        <f t="shared" ref="Z341:Z348" si="150">AE341</f>
        <v>40</v>
      </c>
      <c r="AA341" s="55">
        <f t="shared" si="142"/>
        <v>0</v>
      </c>
      <c r="AC341" s="23" t="s">
        <v>6</v>
      </c>
      <c r="AD341" s="9"/>
      <c r="AE341" s="8">
        <v>40</v>
      </c>
    </row>
    <row r="342" spans="1:31" ht="15.75" x14ac:dyDescent="0.25">
      <c r="A342" t="s">
        <v>31</v>
      </c>
      <c r="B342" t="s">
        <v>23</v>
      </c>
      <c r="C342" s="24" t="str">
        <f t="shared" si="149"/>
        <v>Metal-glass door single leaf</v>
      </c>
      <c r="X342" t="str">
        <f t="shared" si="148"/>
        <v>45U800x1000Metal-glass door single leaf</v>
      </c>
      <c r="Z342" s="22">
        <f t="shared" si="150"/>
        <v>53.5</v>
      </c>
      <c r="AA342" s="55">
        <f t="shared" si="142"/>
        <v>0</v>
      </c>
      <c r="AC342" s="23" t="s">
        <v>7</v>
      </c>
      <c r="AD342" s="9"/>
      <c r="AE342" s="8">
        <v>53.5</v>
      </c>
    </row>
    <row r="343" spans="1:31" ht="15.75" x14ac:dyDescent="0.25">
      <c r="A343" t="s">
        <v>31</v>
      </c>
      <c r="B343" t="s">
        <v>23</v>
      </c>
      <c r="C343" s="24" t="str">
        <f t="shared" si="149"/>
        <v>Perforated door double leaf</v>
      </c>
      <c r="X343" t="str">
        <f t="shared" si="148"/>
        <v>45U800x1000Perforated door double leaf</v>
      </c>
      <c r="Z343" s="22">
        <f t="shared" si="150"/>
        <v>99</v>
      </c>
      <c r="AA343" s="55">
        <f t="shared" si="142"/>
        <v>0</v>
      </c>
      <c r="AC343" s="44" t="s">
        <v>9</v>
      </c>
      <c r="AD343" s="9"/>
      <c r="AE343" s="8">
        <v>99</v>
      </c>
    </row>
    <row r="344" spans="1:31" ht="15.75" x14ac:dyDescent="0.25">
      <c r="A344" t="s">
        <v>31</v>
      </c>
      <c r="B344" t="s">
        <v>23</v>
      </c>
      <c r="C344" s="24" t="str">
        <f t="shared" si="149"/>
        <v>Back full metal panel</v>
      </c>
      <c r="D344" s="54"/>
      <c r="X344" t="str">
        <f t="shared" si="148"/>
        <v>45U800x1000Back full metal panel</v>
      </c>
      <c r="Z344" s="22">
        <f t="shared" si="150"/>
        <v>29.5</v>
      </c>
      <c r="AA344" s="55">
        <f t="shared" si="142"/>
        <v>0</v>
      </c>
      <c r="AC344" s="23" t="s">
        <v>10</v>
      </c>
      <c r="AD344" s="9"/>
      <c r="AE344" s="8">
        <v>29.5</v>
      </c>
    </row>
    <row r="345" spans="1:31" ht="15.75" x14ac:dyDescent="0.25">
      <c r="A345" t="s">
        <v>31</v>
      </c>
      <c r="B345" t="s">
        <v>23</v>
      </c>
      <c r="C345" s="24" t="str">
        <f t="shared" si="149"/>
        <v>Perforated back wall metal</v>
      </c>
      <c r="X345" t="str">
        <f t="shared" si="148"/>
        <v>45U800x1000Perforated back wall metal</v>
      </c>
      <c r="Z345" s="22">
        <f t="shared" si="150"/>
        <v>47</v>
      </c>
      <c r="AA345" s="55">
        <f t="shared" si="142"/>
        <v>0</v>
      </c>
      <c r="AC345" s="44" t="s">
        <v>11</v>
      </c>
      <c r="AD345" s="9"/>
      <c r="AE345" s="8">
        <v>47</v>
      </c>
    </row>
    <row r="346" spans="1:31" ht="15.75" x14ac:dyDescent="0.25">
      <c r="A346" t="s">
        <v>31</v>
      </c>
      <c r="B346" t="s">
        <v>23</v>
      </c>
      <c r="C346" s="1" t="s">
        <v>38</v>
      </c>
      <c r="D346" s="54" t="str">
        <f t="shared" ref="D346:D347" si="151">AC346</f>
        <v xml:space="preserve">metal side panel full metal 1 pc </v>
      </c>
      <c r="Y346" t="str">
        <f t="shared" ref="Y346:Y347" si="152">A346&amp;B346&amp;D346</f>
        <v xml:space="preserve">45U800x1000metal side panel full metal 1 pc </v>
      </c>
      <c r="Z346" s="22">
        <f t="shared" si="150"/>
        <v>32</v>
      </c>
      <c r="AA346" s="55">
        <f t="shared" si="142"/>
        <v>0</v>
      </c>
      <c r="AC346" s="23" t="s">
        <v>12</v>
      </c>
      <c r="AD346" s="9"/>
      <c r="AE346" s="8">
        <v>32</v>
      </c>
    </row>
    <row r="347" spans="1:31" ht="15.75" x14ac:dyDescent="0.25">
      <c r="A347" t="s">
        <v>31</v>
      </c>
      <c r="B347" t="s">
        <v>23</v>
      </c>
      <c r="C347" s="1" t="s">
        <v>38</v>
      </c>
      <c r="D347" s="54" t="str">
        <f t="shared" si="151"/>
        <v xml:space="preserve">perforated side panel </v>
      </c>
      <c r="Y347" t="str">
        <f t="shared" si="152"/>
        <v xml:space="preserve">45U800x1000perforated side panel </v>
      </c>
      <c r="Z347" s="22">
        <f t="shared" si="150"/>
        <v>32</v>
      </c>
      <c r="AA347" s="55">
        <f t="shared" si="142"/>
        <v>0</v>
      </c>
      <c r="AC347" s="44" t="s">
        <v>48</v>
      </c>
      <c r="AD347" s="9"/>
      <c r="AE347" s="8">
        <v>32</v>
      </c>
    </row>
    <row r="348" spans="1:31" ht="15.75" x14ac:dyDescent="0.25">
      <c r="A348" t="s">
        <v>31</v>
      </c>
      <c r="B348" t="s">
        <v>23</v>
      </c>
      <c r="C348" s="1" t="s">
        <v>38</v>
      </c>
      <c r="D348" s="54"/>
      <c r="Z348" s="56">
        <f t="shared" si="150"/>
        <v>11.5</v>
      </c>
      <c r="AA348" s="55">
        <f t="shared" si="142"/>
        <v>2</v>
      </c>
      <c r="AC348" s="23" t="s">
        <v>14</v>
      </c>
      <c r="AD348" s="9"/>
      <c r="AE348" s="8">
        <v>11.5</v>
      </c>
    </row>
    <row r="349" spans="1:31" ht="15.75" x14ac:dyDescent="0.25">
      <c r="A349" t="s">
        <v>31</v>
      </c>
      <c r="B349" t="s">
        <v>24</v>
      </c>
      <c r="C349" s="18" t="s">
        <v>38</v>
      </c>
      <c r="AA349" s="55">
        <f t="shared" si="142"/>
        <v>0</v>
      </c>
      <c r="AC349" s="4" t="s">
        <v>24</v>
      </c>
      <c r="AD349" s="5"/>
      <c r="AE349" s="6"/>
    </row>
    <row r="350" spans="1:31" ht="15.75" x14ac:dyDescent="0.25">
      <c r="A350" t="s">
        <v>31</v>
      </c>
      <c r="B350" t="s">
        <v>24</v>
      </c>
      <c r="C350" s="1" t="s">
        <v>38</v>
      </c>
      <c r="W350" t="str">
        <f>A350&amp;B350</f>
        <v>45U800x1200</v>
      </c>
      <c r="Z350" s="56">
        <f>SUMPRODUCT(AA350:AA359,AE350:AE359)</f>
        <v>186.5</v>
      </c>
      <c r="AA350" s="55">
        <f t="shared" si="142"/>
        <v>1</v>
      </c>
      <c r="AC350" s="35" t="s">
        <v>4</v>
      </c>
      <c r="AD350" s="7"/>
      <c r="AE350" s="8">
        <v>163.5</v>
      </c>
    </row>
    <row r="351" spans="1:31" ht="15.75" x14ac:dyDescent="0.25">
      <c r="A351" t="s">
        <v>31</v>
      </c>
      <c r="B351" t="s">
        <v>24</v>
      </c>
      <c r="C351" s="24" t="str">
        <f>AC351</f>
        <v>Perforated door single leaf</v>
      </c>
      <c r="X351" t="str">
        <f t="shared" ref="X351:X356" si="153">A351&amp;B351&amp;C351</f>
        <v>45U800x1200Perforated door single leaf</v>
      </c>
      <c r="Z351" s="22">
        <f>AE351</f>
        <v>91</v>
      </c>
      <c r="AA351" s="55">
        <f t="shared" si="142"/>
        <v>0</v>
      </c>
      <c r="AC351" s="36" t="s">
        <v>5</v>
      </c>
      <c r="AD351" s="9"/>
      <c r="AE351" s="8">
        <v>91</v>
      </c>
    </row>
    <row r="352" spans="1:31" ht="15.75" x14ac:dyDescent="0.25">
      <c r="A352" t="s">
        <v>31</v>
      </c>
      <c r="B352" t="s">
        <v>24</v>
      </c>
      <c r="C352" s="24" t="str">
        <f t="shared" ref="C352:C356" si="154">AC352</f>
        <v>Full metal door single leaf</v>
      </c>
      <c r="X352" t="str">
        <f t="shared" si="153"/>
        <v>45U800x1200Full metal door single leaf</v>
      </c>
      <c r="Z352" s="22">
        <f t="shared" ref="Z352:Z359" si="155">AE352</f>
        <v>40</v>
      </c>
      <c r="AA352" s="55">
        <f t="shared" si="142"/>
        <v>0</v>
      </c>
      <c r="AC352" s="36" t="s">
        <v>6</v>
      </c>
      <c r="AD352" s="9"/>
      <c r="AE352" s="8">
        <v>40</v>
      </c>
    </row>
    <row r="353" spans="1:31" ht="15.75" x14ac:dyDescent="0.25">
      <c r="A353" t="s">
        <v>31</v>
      </c>
      <c r="B353" t="s">
        <v>24</v>
      </c>
      <c r="C353" s="24" t="str">
        <f t="shared" si="154"/>
        <v>Metal-glass door single leaf</v>
      </c>
      <c r="X353" t="str">
        <f t="shared" si="153"/>
        <v>45U800x1200Metal-glass door single leaf</v>
      </c>
      <c r="Z353" s="22">
        <f t="shared" si="155"/>
        <v>53.5</v>
      </c>
      <c r="AA353" s="55">
        <f t="shared" si="142"/>
        <v>0</v>
      </c>
      <c r="AC353" s="36" t="s">
        <v>7</v>
      </c>
      <c r="AD353" s="9"/>
      <c r="AE353" s="8">
        <v>53.5</v>
      </c>
    </row>
    <row r="354" spans="1:31" ht="15.75" x14ac:dyDescent="0.25">
      <c r="A354" t="s">
        <v>31</v>
      </c>
      <c r="B354" t="s">
        <v>24</v>
      </c>
      <c r="C354" s="24" t="str">
        <f t="shared" si="154"/>
        <v>Perforated door double leaf</v>
      </c>
      <c r="X354" t="str">
        <f t="shared" si="153"/>
        <v>45U800x1200Perforated door double leaf</v>
      </c>
      <c r="Z354" s="22">
        <f t="shared" si="155"/>
        <v>99</v>
      </c>
      <c r="AA354" s="55">
        <f t="shared" si="142"/>
        <v>0</v>
      </c>
      <c r="AC354" s="10" t="s">
        <v>9</v>
      </c>
      <c r="AD354" s="9"/>
      <c r="AE354" s="8">
        <v>99</v>
      </c>
    </row>
    <row r="355" spans="1:31" ht="15.75" x14ac:dyDescent="0.25">
      <c r="A355" t="s">
        <v>31</v>
      </c>
      <c r="B355" t="s">
        <v>24</v>
      </c>
      <c r="C355" s="24" t="str">
        <f t="shared" si="154"/>
        <v>Back full metal panel</v>
      </c>
      <c r="D355" s="54"/>
      <c r="X355" t="str">
        <f t="shared" si="153"/>
        <v>45U800x1200Back full metal panel</v>
      </c>
      <c r="Z355" s="22">
        <f t="shared" si="155"/>
        <v>29.5</v>
      </c>
      <c r="AA355" s="55">
        <f t="shared" si="142"/>
        <v>0</v>
      </c>
      <c r="AC355" s="36" t="s">
        <v>10</v>
      </c>
      <c r="AD355" s="9"/>
      <c r="AE355" s="8">
        <v>29.5</v>
      </c>
    </row>
    <row r="356" spans="1:31" ht="15.75" x14ac:dyDescent="0.25">
      <c r="A356" t="s">
        <v>31</v>
      </c>
      <c r="B356" t="s">
        <v>24</v>
      </c>
      <c r="C356" s="24" t="str">
        <f t="shared" si="154"/>
        <v>Perforated back wall metal</v>
      </c>
      <c r="X356" t="str">
        <f t="shared" si="153"/>
        <v>45U800x1200Perforated back wall metal</v>
      </c>
      <c r="Z356" s="22">
        <f t="shared" si="155"/>
        <v>47</v>
      </c>
      <c r="AA356" s="55">
        <f t="shared" si="142"/>
        <v>0</v>
      </c>
      <c r="AC356" s="10" t="s">
        <v>11</v>
      </c>
      <c r="AD356" s="9"/>
      <c r="AE356" s="8">
        <v>47</v>
      </c>
    </row>
    <row r="357" spans="1:31" ht="15.75" x14ac:dyDescent="0.25">
      <c r="A357" t="s">
        <v>31</v>
      </c>
      <c r="B357" t="s">
        <v>24</v>
      </c>
      <c r="C357" s="1" t="s">
        <v>38</v>
      </c>
      <c r="D357" s="54" t="str">
        <f t="shared" ref="D357:D358" si="156">AC357</f>
        <v xml:space="preserve">metal side panel full metal 1 pc </v>
      </c>
      <c r="Y357" t="str">
        <f t="shared" ref="Y357:Y358" si="157">A357&amp;B357&amp;D357</f>
        <v xml:space="preserve">45U800x1200metal side panel full metal 1 pc </v>
      </c>
      <c r="Z357" s="22">
        <f t="shared" si="155"/>
        <v>35</v>
      </c>
      <c r="AA357" s="55">
        <f t="shared" si="142"/>
        <v>0</v>
      </c>
      <c r="AC357" s="36" t="s">
        <v>12</v>
      </c>
      <c r="AD357" s="9"/>
      <c r="AE357" s="8">
        <v>35</v>
      </c>
    </row>
    <row r="358" spans="1:31" ht="15.75" x14ac:dyDescent="0.25">
      <c r="A358" t="s">
        <v>31</v>
      </c>
      <c r="B358" t="s">
        <v>24</v>
      </c>
      <c r="C358" s="1" t="s">
        <v>38</v>
      </c>
      <c r="D358" s="54" t="str">
        <f t="shared" si="156"/>
        <v xml:space="preserve">perforated side panel </v>
      </c>
      <c r="Y358" t="str">
        <f t="shared" si="157"/>
        <v xml:space="preserve">45U800x1200perforated side panel </v>
      </c>
      <c r="Z358" s="22">
        <f t="shared" si="155"/>
        <v>51</v>
      </c>
      <c r="AA358" s="55">
        <f t="shared" si="142"/>
        <v>0</v>
      </c>
      <c r="AC358" s="10" t="s">
        <v>48</v>
      </c>
      <c r="AD358" s="9"/>
      <c r="AE358" s="8">
        <v>51</v>
      </c>
    </row>
    <row r="359" spans="1:31" ht="15.75" x14ac:dyDescent="0.25">
      <c r="A359" t="s">
        <v>31</v>
      </c>
      <c r="B359" t="s">
        <v>24</v>
      </c>
      <c r="C359" s="1" t="s">
        <v>38</v>
      </c>
      <c r="D359" s="54"/>
      <c r="Z359" s="56">
        <f t="shared" si="155"/>
        <v>11.5</v>
      </c>
      <c r="AA359" s="55">
        <f t="shared" si="142"/>
        <v>2</v>
      </c>
      <c r="AC359" s="45" t="s">
        <v>14</v>
      </c>
      <c r="AD359" s="12"/>
      <c r="AE359" s="8">
        <v>11.5</v>
      </c>
    </row>
    <row r="360" spans="1:31" ht="23.25" x14ac:dyDescent="0.35">
      <c r="A360" t="s">
        <v>32</v>
      </c>
      <c r="C360" s="18" t="s">
        <v>38</v>
      </c>
      <c r="AA360" s="55">
        <f t="shared" si="142"/>
        <v>0</v>
      </c>
      <c r="AC360" s="46" t="s">
        <v>32</v>
      </c>
      <c r="AD360" s="47"/>
      <c r="AE360" s="48"/>
    </row>
    <row r="361" spans="1:31" ht="15.75" x14ac:dyDescent="0.25">
      <c r="A361" t="s">
        <v>32</v>
      </c>
      <c r="B361" t="s">
        <v>3</v>
      </c>
      <c r="C361" s="18" t="s">
        <v>38</v>
      </c>
      <c r="AA361" s="55">
        <f t="shared" si="142"/>
        <v>0</v>
      </c>
      <c r="AC361" s="34" t="s">
        <v>3</v>
      </c>
      <c r="AD361" s="5"/>
      <c r="AE361" s="6"/>
    </row>
    <row r="362" spans="1:31" ht="15.75" x14ac:dyDescent="0.25">
      <c r="A362" t="s">
        <v>32</v>
      </c>
      <c r="B362" t="s">
        <v>3</v>
      </c>
      <c r="C362" s="18" t="s">
        <v>38</v>
      </c>
      <c r="W362" t="str">
        <f>A362&amp;B362</f>
        <v>47U600x600</v>
      </c>
      <c r="Z362" s="56">
        <f>SUMPRODUCT(AA362:AA371,AE362:AE371)</f>
        <v>142</v>
      </c>
      <c r="AA362" s="55">
        <f t="shared" si="142"/>
        <v>1</v>
      </c>
      <c r="AC362" s="49" t="s">
        <v>4</v>
      </c>
      <c r="AD362" s="7"/>
      <c r="AE362" s="8">
        <v>118</v>
      </c>
    </row>
    <row r="363" spans="1:31" ht="15.75" x14ac:dyDescent="0.25">
      <c r="A363" t="s">
        <v>32</v>
      </c>
      <c r="B363" t="s">
        <v>3</v>
      </c>
      <c r="C363" s="1" t="s">
        <v>38</v>
      </c>
      <c r="X363" t="str">
        <f t="shared" ref="X363:X368" si="158">A363&amp;B363&amp;C363</f>
        <v>47U600x600brak</v>
      </c>
      <c r="Z363" s="22">
        <f>AE363</f>
        <v>81.5</v>
      </c>
      <c r="AA363" s="55">
        <f t="shared" si="142"/>
        <v>0</v>
      </c>
      <c r="AC363" s="50" t="s">
        <v>5</v>
      </c>
      <c r="AD363" s="9"/>
      <c r="AE363" s="8">
        <v>81.5</v>
      </c>
    </row>
    <row r="364" spans="1:31" ht="15.75" x14ac:dyDescent="0.25">
      <c r="A364" t="s">
        <v>32</v>
      </c>
      <c r="B364" t="s">
        <v>3</v>
      </c>
      <c r="C364" s="24" t="str">
        <f>AC364</f>
        <v>Full metal door single leaf</v>
      </c>
      <c r="X364" t="str">
        <f t="shared" si="158"/>
        <v>47U600x600Full metal door single leaf</v>
      </c>
      <c r="Z364" s="22">
        <f t="shared" ref="Z364:Z371" si="159">AE364</f>
        <v>31</v>
      </c>
      <c r="AA364" s="55">
        <f t="shared" si="142"/>
        <v>0</v>
      </c>
      <c r="AC364" s="50" t="s">
        <v>6</v>
      </c>
      <c r="AD364" s="9"/>
      <c r="AE364" s="8">
        <v>31</v>
      </c>
    </row>
    <row r="365" spans="1:31" ht="15.75" x14ac:dyDescent="0.25">
      <c r="A365" t="s">
        <v>32</v>
      </c>
      <c r="B365" t="s">
        <v>3</v>
      </c>
      <c r="C365" s="24" t="str">
        <f t="shared" ref="C365:C368" si="160">AC365</f>
        <v>Metal-glass door single leaf</v>
      </c>
      <c r="X365" t="str">
        <f t="shared" si="158"/>
        <v>47U600x600Metal-glass door single leaf</v>
      </c>
      <c r="Z365" s="22">
        <f t="shared" si="159"/>
        <v>51</v>
      </c>
      <c r="AA365" s="55">
        <f t="shared" si="142"/>
        <v>0</v>
      </c>
      <c r="AC365" s="50" t="s">
        <v>7</v>
      </c>
      <c r="AD365" s="9"/>
      <c r="AE365" s="8">
        <v>51</v>
      </c>
    </row>
    <row r="366" spans="1:31" ht="15.75" x14ac:dyDescent="0.25">
      <c r="A366" t="s">
        <v>32</v>
      </c>
      <c r="B366" t="s">
        <v>3</v>
      </c>
      <c r="C366" s="24" t="str">
        <f t="shared" si="160"/>
        <v>Perforated door double leaf</v>
      </c>
      <c r="X366" t="str">
        <f t="shared" si="158"/>
        <v>47U600x600Perforated door double leaf</v>
      </c>
      <c r="Z366" s="22">
        <f t="shared" si="159"/>
        <v>103.5</v>
      </c>
      <c r="AA366" s="55">
        <f t="shared" si="142"/>
        <v>0</v>
      </c>
      <c r="AC366" s="44" t="s">
        <v>9</v>
      </c>
      <c r="AD366" s="9"/>
      <c r="AE366" s="8">
        <v>103.5</v>
      </c>
    </row>
    <row r="367" spans="1:31" ht="15.75" x14ac:dyDescent="0.25">
      <c r="A367" t="s">
        <v>32</v>
      </c>
      <c r="B367" t="s">
        <v>3</v>
      </c>
      <c r="C367" s="24" t="str">
        <f t="shared" si="160"/>
        <v>Back full metal panel</v>
      </c>
      <c r="X367" t="str">
        <f t="shared" si="158"/>
        <v>47U600x600Back full metal panel</v>
      </c>
      <c r="Z367" s="22">
        <f t="shared" si="159"/>
        <v>31</v>
      </c>
      <c r="AA367" s="55">
        <f t="shared" si="142"/>
        <v>0</v>
      </c>
      <c r="AC367" s="50" t="s">
        <v>10</v>
      </c>
      <c r="AD367" s="9"/>
      <c r="AE367" s="8">
        <v>31</v>
      </c>
    </row>
    <row r="368" spans="1:31" ht="15.75" x14ac:dyDescent="0.25">
      <c r="A368" t="s">
        <v>32</v>
      </c>
      <c r="B368" t="s">
        <v>3</v>
      </c>
      <c r="C368" s="24" t="str">
        <f t="shared" si="160"/>
        <v>Perforated back wall metal</v>
      </c>
      <c r="D368" s="54"/>
      <c r="X368" t="str">
        <f t="shared" si="158"/>
        <v>47U600x600Perforated back wall metal</v>
      </c>
      <c r="Z368" s="22">
        <f t="shared" si="159"/>
        <v>41</v>
      </c>
      <c r="AA368" s="55">
        <f t="shared" si="142"/>
        <v>0</v>
      </c>
      <c r="AC368" s="44" t="s">
        <v>11</v>
      </c>
      <c r="AD368" s="9"/>
      <c r="AE368" s="8">
        <v>41</v>
      </c>
    </row>
    <row r="369" spans="1:31" ht="15.75" x14ac:dyDescent="0.25">
      <c r="A369" t="s">
        <v>32</v>
      </c>
      <c r="B369" t="s">
        <v>3</v>
      </c>
      <c r="C369" s="1" t="s">
        <v>38</v>
      </c>
      <c r="D369" s="54" t="str">
        <f t="shared" ref="D369:D370" si="161">AC369</f>
        <v xml:space="preserve">metal side panel full metal 1 pc </v>
      </c>
      <c r="Y369" t="str">
        <f t="shared" ref="Y369:Y370" si="162">A369&amp;B369&amp;D369</f>
        <v xml:space="preserve">47U600x600metal side panel full metal 1 pc </v>
      </c>
      <c r="Z369" s="22">
        <f t="shared" si="159"/>
        <v>29</v>
      </c>
      <c r="AA369" s="55">
        <f t="shared" si="142"/>
        <v>0</v>
      </c>
      <c r="AC369" s="50" t="s">
        <v>12</v>
      </c>
      <c r="AD369" s="9"/>
      <c r="AE369" s="8">
        <v>29</v>
      </c>
    </row>
    <row r="370" spans="1:31" ht="15.75" x14ac:dyDescent="0.25">
      <c r="A370" t="s">
        <v>32</v>
      </c>
      <c r="B370" t="s">
        <v>3</v>
      </c>
      <c r="C370" s="1" t="s">
        <v>38</v>
      </c>
      <c r="D370" s="54" t="str">
        <f t="shared" si="161"/>
        <v xml:space="preserve">perforated side panel </v>
      </c>
      <c r="Y370" t="str">
        <f t="shared" si="162"/>
        <v xml:space="preserve">47U600x600perforated side panel </v>
      </c>
      <c r="Z370" s="22">
        <f t="shared" si="159"/>
        <v>46.5</v>
      </c>
      <c r="AA370" s="55">
        <f t="shared" si="142"/>
        <v>0</v>
      </c>
      <c r="AC370" s="44" t="s">
        <v>48</v>
      </c>
      <c r="AD370" s="9"/>
      <c r="AE370" s="8">
        <v>46.5</v>
      </c>
    </row>
    <row r="371" spans="1:31" ht="15.75" x14ac:dyDescent="0.25">
      <c r="A371" t="s">
        <v>32</v>
      </c>
      <c r="B371" t="s">
        <v>3</v>
      </c>
      <c r="C371" s="1" t="s">
        <v>38</v>
      </c>
      <c r="D371" s="54"/>
      <c r="Z371" s="56">
        <f t="shared" si="159"/>
        <v>12</v>
      </c>
      <c r="AA371" s="55">
        <f t="shared" si="142"/>
        <v>2</v>
      </c>
      <c r="AC371" s="51" t="s">
        <v>14</v>
      </c>
      <c r="AD371" s="12"/>
      <c r="AE371" s="8">
        <v>12</v>
      </c>
    </row>
    <row r="372" spans="1:31" ht="15.75" x14ac:dyDescent="0.25">
      <c r="A372" t="s">
        <v>32</v>
      </c>
      <c r="B372" t="s">
        <v>18</v>
      </c>
      <c r="C372" s="18" t="s">
        <v>38</v>
      </c>
      <c r="AA372" s="55">
        <f t="shared" si="142"/>
        <v>0</v>
      </c>
      <c r="AC372" s="52" t="s">
        <v>18</v>
      </c>
      <c r="AD372" s="5"/>
      <c r="AE372" s="5"/>
    </row>
    <row r="373" spans="1:31" ht="15.75" x14ac:dyDescent="0.25">
      <c r="A373" t="s">
        <v>32</v>
      </c>
      <c r="B373" t="s">
        <v>18</v>
      </c>
      <c r="C373" s="18" t="s">
        <v>38</v>
      </c>
      <c r="W373" t="str">
        <f>A373&amp;B373</f>
        <v>47U800x800</v>
      </c>
      <c r="Z373" s="56">
        <f>SUMPRODUCT(AA373:AA382,AE373:AE382)</f>
        <v>168.5</v>
      </c>
      <c r="AA373" s="55">
        <f t="shared" si="142"/>
        <v>1</v>
      </c>
      <c r="AC373" s="49" t="s">
        <v>4</v>
      </c>
      <c r="AD373" s="7"/>
      <c r="AE373" s="8">
        <v>144.5</v>
      </c>
    </row>
    <row r="374" spans="1:31" ht="15.75" x14ac:dyDescent="0.25">
      <c r="A374" t="s">
        <v>32</v>
      </c>
      <c r="B374" t="s">
        <v>18</v>
      </c>
      <c r="C374" s="1" t="s">
        <v>38</v>
      </c>
      <c r="X374" t="str">
        <f t="shared" ref="X374:X379" si="163">A374&amp;B374&amp;C374</f>
        <v>47U800x800brak</v>
      </c>
      <c r="Z374" s="22">
        <f>AE374</f>
        <v>86</v>
      </c>
      <c r="AA374" s="55">
        <f t="shared" si="142"/>
        <v>0</v>
      </c>
      <c r="AC374" s="50" t="s">
        <v>5</v>
      </c>
      <c r="AD374" s="9"/>
      <c r="AE374" s="8">
        <v>86</v>
      </c>
    </row>
    <row r="375" spans="1:31" ht="15.75" x14ac:dyDescent="0.25">
      <c r="A375" t="s">
        <v>32</v>
      </c>
      <c r="B375" t="s">
        <v>18</v>
      </c>
      <c r="C375" s="24" t="str">
        <f>AC375</f>
        <v>Full metal door single leaf</v>
      </c>
      <c r="X375" t="str">
        <f t="shared" si="163"/>
        <v>47U800x800Full metal door single leaf</v>
      </c>
      <c r="Z375" s="22">
        <f t="shared" ref="Z375:Z382" si="164">AE375</f>
        <v>40</v>
      </c>
      <c r="AA375" s="55">
        <f t="shared" si="142"/>
        <v>0</v>
      </c>
      <c r="AC375" s="50" t="s">
        <v>6</v>
      </c>
      <c r="AD375" s="9"/>
      <c r="AE375" s="8">
        <v>40</v>
      </c>
    </row>
    <row r="376" spans="1:31" ht="15.75" x14ac:dyDescent="0.25">
      <c r="A376" t="s">
        <v>32</v>
      </c>
      <c r="B376" t="s">
        <v>18</v>
      </c>
      <c r="C376" s="24" t="str">
        <f t="shared" ref="C376:C379" si="165">AC376</f>
        <v>Metal-glass door single leaf</v>
      </c>
      <c r="X376" t="str">
        <f t="shared" si="163"/>
        <v>47U800x800Metal-glass door single leaf</v>
      </c>
      <c r="Z376" s="22">
        <f t="shared" si="164"/>
        <v>56</v>
      </c>
      <c r="AA376" s="55">
        <f t="shared" si="142"/>
        <v>0</v>
      </c>
      <c r="AC376" s="50" t="s">
        <v>7</v>
      </c>
      <c r="AD376" s="9"/>
      <c r="AE376" s="8">
        <v>56</v>
      </c>
    </row>
    <row r="377" spans="1:31" ht="15.75" x14ac:dyDescent="0.25">
      <c r="A377" t="s">
        <v>32</v>
      </c>
      <c r="B377" t="s">
        <v>18</v>
      </c>
      <c r="C377" s="24" t="str">
        <f t="shared" si="165"/>
        <v>Perforated door double leaf</v>
      </c>
      <c r="X377" t="str">
        <f t="shared" si="163"/>
        <v>47U800x800Perforated door double leaf</v>
      </c>
      <c r="Z377" s="22">
        <f t="shared" si="164"/>
        <v>106</v>
      </c>
      <c r="AA377" s="55">
        <f t="shared" si="142"/>
        <v>0</v>
      </c>
      <c r="AC377" s="44" t="s">
        <v>9</v>
      </c>
      <c r="AD377" s="9"/>
      <c r="AE377" s="8">
        <v>106</v>
      </c>
    </row>
    <row r="378" spans="1:31" ht="15.75" x14ac:dyDescent="0.25">
      <c r="A378" t="s">
        <v>32</v>
      </c>
      <c r="B378" t="s">
        <v>18</v>
      </c>
      <c r="C378" s="24" t="str">
        <f t="shared" si="165"/>
        <v>Back full metal panel</v>
      </c>
      <c r="X378" t="str">
        <f t="shared" si="163"/>
        <v>47U800x800Back full metal panel</v>
      </c>
      <c r="Z378" s="22">
        <f t="shared" si="164"/>
        <v>32</v>
      </c>
      <c r="AA378" s="55">
        <f t="shared" si="142"/>
        <v>0</v>
      </c>
      <c r="AC378" s="50" t="s">
        <v>10</v>
      </c>
      <c r="AD378" s="9"/>
      <c r="AE378" s="8">
        <v>32</v>
      </c>
    </row>
    <row r="379" spans="1:31" ht="15.75" x14ac:dyDescent="0.25">
      <c r="A379" t="s">
        <v>32</v>
      </c>
      <c r="B379" t="s">
        <v>18</v>
      </c>
      <c r="C379" s="24" t="str">
        <f t="shared" si="165"/>
        <v>Perforated back wall metal</v>
      </c>
      <c r="D379" s="54"/>
      <c r="X379" t="str">
        <f t="shared" si="163"/>
        <v>47U800x800Perforated back wall metal</v>
      </c>
      <c r="Z379" s="22">
        <f t="shared" si="164"/>
        <v>48</v>
      </c>
      <c r="AA379" s="55">
        <f t="shared" si="142"/>
        <v>0</v>
      </c>
      <c r="AC379" s="44" t="s">
        <v>11</v>
      </c>
      <c r="AD379" s="9"/>
      <c r="AE379" s="8">
        <v>48</v>
      </c>
    </row>
    <row r="380" spans="1:31" ht="15.75" x14ac:dyDescent="0.25">
      <c r="A380" t="s">
        <v>32</v>
      </c>
      <c r="B380" t="s">
        <v>18</v>
      </c>
      <c r="C380" s="1" t="s">
        <v>38</v>
      </c>
      <c r="D380" s="54" t="str">
        <f t="shared" ref="D380:D381" si="166">AC380</f>
        <v xml:space="preserve">metal side panel full metal 1 pc </v>
      </c>
      <c r="Y380" t="str">
        <f t="shared" ref="Y380:Y381" si="167">A380&amp;B380&amp;D380</f>
        <v xml:space="preserve">47U800x800metal side panel full metal 1 pc </v>
      </c>
      <c r="Z380" s="22">
        <f t="shared" si="164"/>
        <v>30.5</v>
      </c>
      <c r="AA380" s="55">
        <f t="shared" si="142"/>
        <v>0</v>
      </c>
      <c r="AC380" s="50" t="s">
        <v>12</v>
      </c>
      <c r="AD380" s="9"/>
      <c r="AE380" s="8">
        <v>30.5</v>
      </c>
    </row>
    <row r="381" spans="1:31" ht="15.75" x14ac:dyDescent="0.25">
      <c r="A381" t="s">
        <v>32</v>
      </c>
      <c r="B381" t="s">
        <v>18</v>
      </c>
      <c r="C381" s="1" t="s">
        <v>38</v>
      </c>
      <c r="D381" s="54" t="str">
        <f t="shared" si="166"/>
        <v xml:space="preserve">perforated side panel </v>
      </c>
      <c r="Y381" t="str">
        <f t="shared" si="167"/>
        <v xml:space="preserve">47U800x800perforated side panel </v>
      </c>
      <c r="Z381" s="22">
        <f t="shared" si="164"/>
        <v>48.5</v>
      </c>
      <c r="AA381" s="55">
        <f t="shared" si="142"/>
        <v>0</v>
      </c>
      <c r="AC381" s="44" t="s">
        <v>48</v>
      </c>
      <c r="AD381" s="9"/>
      <c r="AE381" s="8">
        <v>48.5</v>
      </c>
    </row>
    <row r="382" spans="1:31" ht="15.75" x14ac:dyDescent="0.25">
      <c r="A382" t="s">
        <v>32</v>
      </c>
      <c r="B382" t="s">
        <v>18</v>
      </c>
      <c r="C382" s="1" t="s">
        <v>38</v>
      </c>
      <c r="D382" s="54"/>
      <c r="Z382" s="56">
        <f t="shared" si="164"/>
        <v>12</v>
      </c>
      <c r="AA382" s="55">
        <f t="shared" si="142"/>
        <v>2</v>
      </c>
      <c r="AC382" s="50" t="s">
        <v>14</v>
      </c>
      <c r="AD382" s="9"/>
      <c r="AE382" s="8">
        <v>12</v>
      </c>
    </row>
    <row r="383" spans="1:31" ht="15.75" x14ac:dyDescent="0.25">
      <c r="A383" t="s">
        <v>32</v>
      </c>
      <c r="B383" t="s">
        <v>19</v>
      </c>
      <c r="C383" s="18" t="s">
        <v>38</v>
      </c>
      <c r="AA383" s="55">
        <f t="shared" si="142"/>
        <v>0</v>
      </c>
      <c r="AC383" s="52" t="s">
        <v>19</v>
      </c>
      <c r="AD383" s="5"/>
      <c r="AE383" s="5"/>
    </row>
    <row r="384" spans="1:31" ht="15.75" x14ac:dyDescent="0.25">
      <c r="A384" t="s">
        <v>32</v>
      </c>
      <c r="B384" t="s">
        <v>19</v>
      </c>
      <c r="C384" s="18" t="s">
        <v>38</v>
      </c>
      <c r="W384" t="str">
        <f>A384&amp;B384</f>
        <v>47U600x1000</v>
      </c>
      <c r="Z384" s="56">
        <f>SUMPRODUCT(AA384:AA393,AE384:AE393)</f>
        <v>148</v>
      </c>
      <c r="AA384" s="55">
        <f t="shared" si="142"/>
        <v>1</v>
      </c>
      <c r="AC384" s="49" t="s">
        <v>4</v>
      </c>
      <c r="AD384" s="7"/>
      <c r="AE384" s="8">
        <v>124</v>
      </c>
    </row>
    <row r="385" spans="1:31" ht="15.75" x14ac:dyDescent="0.25">
      <c r="A385" t="s">
        <v>32</v>
      </c>
      <c r="B385" t="s">
        <v>19</v>
      </c>
      <c r="C385" s="1" t="s">
        <v>38</v>
      </c>
      <c r="X385" t="str">
        <f t="shared" ref="X385:X390" si="168">A385&amp;B385&amp;C385</f>
        <v>47U600x1000brak</v>
      </c>
      <c r="Z385" s="22">
        <f>AE385</f>
        <v>81.5</v>
      </c>
      <c r="AA385" s="55">
        <f t="shared" si="142"/>
        <v>0</v>
      </c>
      <c r="AC385" s="50" t="s">
        <v>5</v>
      </c>
      <c r="AD385" s="9"/>
      <c r="AE385" s="8">
        <v>81.5</v>
      </c>
    </row>
    <row r="386" spans="1:31" ht="15.75" x14ac:dyDescent="0.25">
      <c r="A386" t="s">
        <v>32</v>
      </c>
      <c r="B386" t="s">
        <v>19</v>
      </c>
      <c r="C386" s="24" t="str">
        <f>AC386</f>
        <v>Full metal door single leaf</v>
      </c>
      <c r="X386" t="str">
        <f t="shared" si="168"/>
        <v>47U600x1000Full metal door single leaf</v>
      </c>
      <c r="Z386" s="22">
        <f t="shared" ref="Z386:Z393" si="169">AE386</f>
        <v>40</v>
      </c>
      <c r="AA386" s="55">
        <f t="shared" si="142"/>
        <v>0</v>
      </c>
      <c r="AC386" s="50" t="s">
        <v>6</v>
      </c>
      <c r="AD386" s="9"/>
      <c r="AE386" s="8">
        <v>40</v>
      </c>
    </row>
    <row r="387" spans="1:31" ht="15.75" x14ac:dyDescent="0.25">
      <c r="A387" t="s">
        <v>32</v>
      </c>
      <c r="B387" t="s">
        <v>19</v>
      </c>
      <c r="C387" s="24" t="str">
        <f t="shared" ref="C387:C390" si="170">AC387</f>
        <v>Metal-glass door single leaf</v>
      </c>
      <c r="X387" t="str">
        <f t="shared" si="168"/>
        <v>47U600x1000Metal-glass door single leaf</v>
      </c>
      <c r="Z387" s="22">
        <f t="shared" si="169"/>
        <v>50.5</v>
      </c>
      <c r="AA387" s="55">
        <f t="shared" si="142"/>
        <v>0</v>
      </c>
      <c r="AC387" s="50" t="s">
        <v>7</v>
      </c>
      <c r="AD387" s="9"/>
      <c r="AE387" s="8">
        <v>50.5</v>
      </c>
    </row>
    <row r="388" spans="1:31" ht="15.75" x14ac:dyDescent="0.25">
      <c r="A388" t="s">
        <v>32</v>
      </c>
      <c r="B388" t="s">
        <v>19</v>
      </c>
      <c r="C388" s="24" t="str">
        <f t="shared" si="170"/>
        <v>Perforated door double leaf</v>
      </c>
      <c r="X388" t="str">
        <f t="shared" si="168"/>
        <v>47U600x1000Perforated door double leaf</v>
      </c>
      <c r="Z388" s="22">
        <f t="shared" si="169"/>
        <v>103.5</v>
      </c>
      <c r="AA388" s="55">
        <f t="shared" ref="AA388:AA426" si="171">IF(AC388="Frame",1,IF(LEFT(AC388,8)="Mounting",2,0))</f>
        <v>0</v>
      </c>
      <c r="AC388" s="44" t="s">
        <v>9</v>
      </c>
      <c r="AD388" s="9"/>
      <c r="AE388" s="8">
        <v>103.5</v>
      </c>
    </row>
    <row r="389" spans="1:31" ht="15.75" x14ac:dyDescent="0.25">
      <c r="A389" t="s">
        <v>32</v>
      </c>
      <c r="B389" t="s">
        <v>19</v>
      </c>
      <c r="C389" s="24" t="str">
        <f t="shared" si="170"/>
        <v>Back full metal panel</v>
      </c>
      <c r="X389" t="str">
        <f t="shared" si="168"/>
        <v>47U600x1000Back full metal panel</v>
      </c>
      <c r="Z389" s="22">
        <f t="shared" si="169"/>
        <v>31</v>
      </c>
      <c r="AA389" s="55">
        <f t="shared" si="171"/>
        <v>0</v>
      </c>
      <c r="AC389" s="50" t="s">
        <v>10</v>
      </c>
      <c r="AD389" s="9"/>
      <c r="AE389" s="8">
        <v>31</v>
      </c>
    </row>
    <row r="390" spans="1:31" ht="15.75" x14ac:dyDescent="0.25">
      <c r="A390" t="s">
        <v>32</v>
      </c>
      <c r="B390" t="s">
        <v>19</v>
      </c>
      <c r="C390" s="24" t="str">
        <f t="shared" si="170"/>
        <v>Perforated back wall metal</v>
      </c>
      <c r="D390" s="54"/>
      <c r="X390" t="str">
        <f t="shared" si="168"/>
        <v>47U600x1000Perforated back wall metal</v>
      </c>
      <c r="Z390" s="22">
        <f t="shared" si="169"/>
        <v>40.5</v>
      </c>
      <c r="AA390" s="55">
        <f t="shared" si="171"/>
        <v>0</v>
      </c>
      <c r="AC390" s="44" t="s">
        <v>11</v>
      </c>
      <c r="AD390" s="9"/>
      <c r="AE390" s="8">
        <v>40.5</v>
      </c>
    </row>
    <row r="391" spans="1:31" ht="15.75" x14ac:dyDescent="0.25">
      <c r="A391" t="s">
        <v>32</v>
      </c>
      <c r="B391" t="s">
        <v>19</v>
      </c>
      <c r="C391" s="1" t="s">
        <v>38</v>
      </c>
      <c r="D391" s="54" t="str">
        <f t="shared" ref="D391:D392" si="172">AC391</f>
        <v xml:space="preserve">metal side panel full metal 1 pc </v>
      </c>
      <c r="Y391" t="str">
        <f t="shared" ref="Y391:Y392" si="173">A391&amp;B391&amp;D391</f>
        <v xml:space="preserve">47U600x1000metal side panel full metal 1 pc </v>
      </c>
      <c r="Z391" s="22">
        <f t="shared" si="169"/>
        <v>31.5</v>
      </c>
      <c r="AA391" s="55">
        <f t="shared" si="171"/>
        <v>0</v>
      </c>
      <c r="AC391" s="50" t="s">
        <v>12</v>
      </c>
      <c r="AD391" s="9"/>
      <c r="AE391" s="8">
        <v>31.5</v>
      </c>
    </row>
    <row r="392" spans="1:31" ht="15.75" x14ac:dyDescent="0.25">
      <c r="A392" t="s">
        <v>32</v>
      </c>
      <c r="B392" t="s">
        <v>19</v>
      </c>
      <c r="C392" s="1" t="s">
        <v>38</v>
      </c>
      <c r="D392" s="54" t="str">
        <f t="shared" si="172"/>
        <v xml:space="preserve">perforated side panel </v>
      </c>
      <c r="Y392" t="str">
        <f t="shared" si="173"/>
        <v xml:space="preserve">47U600x1000perforated side panel </v>
      </c>
      <c r="Z392" s="22">
        <f t="shared" si="169"/>
        <v>49.5</v>
      </c>
      <c r="AA392" s="55">
        <f t="shared" si="171"/>
        <v>0</v>
      </c>
      <c r="AC392" s="44" t="s">
        <v>48</v>
      </c>
      <c r="AD392" s="9"/>
      <c r="AE392" s="8">
        <v>49.5</v>
      </c>
    </row>
    <row r="393" spans="1:31" ht="15.75" x14ac:dyDescent="0.25">
      <c r="A393" t="s">
        <v>32</v>
      </c>
      <c r="B393" t="s">
        <v>19</v>
      </c>
      <c r="C393" s="1" t="s">
        <v>38</v>
      </c>
      <c r="D393" s="54"/>
      <c r="Z393" s="56">
        <f t="shared" si="169"/>
        <v>12</v>
      </c>
      <c r="AA393" s="55">
        <f t="shared" si="171"/>
        <v>2</v>
      </c>
      <c r="AC393" s="50" t="s">
        <v>14</v>
      </c>
      <c r="AD393" s="9"/>
      <c r="AE393" s="8">
        <v>12</v>
      </c>
    </row>
    <row r="394" spans="1:31" ht="15.75" x14ac:dyDescent="0.25">
      <c r="A394" t="s">
        <v>32</v>
      </c>
      <c r="B394" t="s">
        <v>22</v>
      </c>
      <c r="C394" s="18" t="s">
        <v>38</v>
      </c>
      <c r="AA394" s="55">
        <f t="shared" si="171"/>
        <v>0</v>
      </c>
      <c r="AC394" s="52" t="s">
        <v>22</v>
      </c>
      <c r="AD394" s="5"/>
      <c r="AE394" s="6"/>
    </row>
    <row r="395" spans="1:31" ht="15.75" x14ac:dyDescent="0.25">
      <c r="A395" t="s">
        <v>32</v>
      </c>
      <c r="B395" t="s">
        <v>22</v>
      </c>
      <c r="C395" s="18" t="s">
        <v>38</v>
      </c>
      <c r="W395" t="str">
        <f>A395&amp;B395</f>
        <v>47U600x1200</v>
      </c>
      <c r="Z395" s="56">
        <f>SUMPRODUCT(AA395:AA404,AE395:AE404)</f>
        <v>157</v>
      </c>
      <c r="AA395" s="55">
        <f t="shared" si="171"/>
        <v>1</v>
      </c>
      <c r="AC395" s="49" t="s">
        <v>4</v>
      </c>
      <c r="AD395" s="7"/>
      <c r="AE395" s="8">
        <v>133</v>
      </c>
    </row>
    <row r="396" spans="1:31" ht="15.75" x14ac:dyDescent="0.25">
      <c r="A396" t="s">
        <v>32</v>
      </c>
      <c r="B396" t="s">
        <v>22</v>
      </c>
      <c r="C396" s="1" t="s">
        <v>38</v>
      </c>
      <c r="X396" t="str">
        <f t="shared" ref="X396:X401" si="174">A396&amp;B396&amp;C396</f>
        <v>47U600x1200brak</v>
      </c>
      <c r="Z396" s="22">
        <f>AE396</f>
        <v>81.5</v>
      </c>
      <c r="AA396" s="55">
        <f t="shared" si="171"/>
        <v>0</v>
      </c>
      <c r="AC396" s="50" t="s">
        <v>5</v>
      </c>
      <c r="AD396" s="9"/>
      <c r="AE396" s="8">
        <v>81.5</v>
      </c>
    </row>
    <row r="397" spans="1:31" ht="15.75" x14ac:dyDescent="0.25">
      <c r="A397" t="s">
        <v>32</v>
      </c>
      <c r="B397" t="s">
        <v>22</v>
      </c>
      <c r="C397" s="24" t="str">
        <f>AC397</f>
        <v>Full metal door single leaf</v>
      </c>
      <c r="X397" t="str">
        <f t="shared" si="174"/>
        <v>47U600x1200Full metal door single leaf</v>
      </c>
      <c r="Z397" s="22">
        <f t="shared" ref="Z397:Z404" si="175">AE397</f>
        <v>40</v>
      </c>
      <c r="AA397" s="55">
        <f t="shared" si="171"/>
        <v>0</v>
      </c>
      <c r="AC397" s="50" t="s">
        <v>6</v>
      </c>
      <c r="AD397" s="9"/>
      <c r="AE397" s="8">
        <v>40</v>
      </c>
    </row>
    <row r="398" spans="1:31" ht="15.75" x14ac:dyDescent="0.25">
      <c r="A398" t="s">
        <v>32</v>
      </c>
      <c r="B398" t="s">
        <v>22</v>
      </c>
      <c r="C398" s="24" t="str">
        <f t="shared" ref="C398:C401" si="176">AC398</f>
        <v>Metal-glass door single leaf</v>
      </c>
      <c r="X398" t="str">
        <f t="shared" si="174"/>
        <v>47U600x1200Metal-glass door single leaf</v>
      </c>
      <c r="Z398" s="22">
        <f t="shared" si="175"/>
        <v>48</v>
      </c>
      <c r="AA398" s="55">
        <f t="shared" si="171"/>
        <v>0</v>
      </c>
      <c r="AC398" s="50" t="s">
        <v>7</v>
      </c>
      <c r="AD398" s="9"/>
      <c r="AE398" s="8">
        <v>48</v>
      </c>
    </row>
    <row r="399" spans="1:31" ht="15.75" x14ac:dyDescent="0.25">
      <c r="A399" t="s">
        <v>32</v>
      </c>
      <c r="B399" t="s">
        <v>22</v>
      </c>
      <c r="C399" s="24" t="str">
        <f t="shared" si="176"/>
        <v>Perforated door double leaf</v>
      </c>
      <c r="X399" t="str">
        <f t="shared" si="174"/>
        <v>47U600x1200Perforated door double leaf</v>
      </c>
      <c r="Z399" s="22">
        <f t="shared" si="175"/>
        <v>103.5</v>
      </c>
      <c r="AA399" s="55">
        <f t="shared" si="171"/>
        <v>0</v>
      </c>
      <c r="AC399" s="44" t="s">
        <v>9</v>
      </c>
      <c r="AD399" s="9"/>
      <c r="AE399" s="8">
        <v>103.5</v>
      </c>
    </row>
    <row r="400" spans="1:31" ht="15.75" x14ac:dyDescent="0.25">
      <c r="A400" t="s">
        <v>32</v>
      </c>
      <c r="B400" t="s">
        <v>22</v>
      </c>
      <c r="C400" s="24" t="str">
        <f t="shared" si="176"/>
        <v>Back full metal panel</v>
      </c>
      <c r="X400" t="str">
        <f t="shared" si="174"/>
        <v>47U600x1200Back full metal panel</v>
      </c>
      <c r="Z400" s="22">
        <f t="shared" si="175"/>
        <v>31</v>
      </c>
      <c r="AA400" s="55">
        <f t="shared" si="171"/>
        <v>0</v>
      </c>
      <c r="AC400" s="50" t="s">
        <v>10</v>
      </c>
      <c r="AD400" s="9"/>
      <c r="AE400" s="8">
        <v>31</v>
      </c>
    </row>
    <row r="401" spans="1:31" ht="15.75" x14ac:dyDescent="0.25">
      <c r="A401" t="s">
        <v>32</v>
      </c>
      <c r="B401" t="s">
        <v>22</v>
      </c>
      <c r="C401" s="24" t="str">
        <f t="shared" si="176"/>
        <v>Perforated back wall metal</v>
      </c>
      <c r="D401" s="54"/>
      <c r="X401" t="str">
        <f t="shared" si="174"/>
        <v>47U600x1200Perforated back wall metal</v>
      </c>
      <c r="Z401" s="22">
        <f t="shared" si="175"/>
        <v>40.5</v>
      </c>
      <c r="AA401" s="55">
        <f t="shared" si="171"/>
        <v>0</v>
      </c>
      <c r="AC401" s="44" t="s">
        <v>11</v>
      </c>
      <c r="AD401" s="9"/>
      <c r="AE401" s="8">
        <v>40.5</v>
      </c>
    </row>
    <row r="402" spans="1:31" ht="15.75" x14ac:dyDescent="0.25">
      <c r="A402" t="s">
        <v>32</v>
      </c>
      <c r="B402" t="s">
        <v>22</v>
      </c>
      <c r="C402" s="1" t="s">
        <v>38</v>
      </c>
      <c r="D402" s="54" t="str">
        <f t="shared" ref="D402:D403" si="177">AC402</f>
        <v xml:space="preserve">metal side panel full metal 1 pc </v>
      </c>
      <c r="Y402" t="str">
        <f t="shared" ref="Y402:Y403" si="178">A402&amp;B402&amp;D402</f>
        <v xml:space="preserve">47U600x1200metal side panel full metal 1 pc </v>
      </c>
      <c r="Z402" s="22">
        <f t="shared" si="175"/>
        <v>33</v>
      </c>
      <c r="AA402" s="55">
        <f t="shared" si="171"/>
        <v>0</v>
      </c>
      <c r="AC402" s="50" t="s">
        <v>12</v>
      </c>
      <c r="AD402" s="9"/>
      <c r="AE402" s="8">
        <v>33</v>
      </c>
    </row>
    <row r="403" spans="1:31" ht="15.75" x14ac:dyDescent="0.25">
      <c r="A403" t="s">
        <v>32</v>
      </c>
      <c r="B403" t="s">
        <v>22</v>
      </c>
      <c r="C403" s="1" t="s">
        <v>38</v>
      </c>
      <c r="D403" s="54" t="str">
        <f t="shared" si="177"/>
        <v xml:space="preserve">perforated side panel </v>
      </c>
      <c r="Y403" t="str">
        <f t="shared" si="178"/>
        <v xml:space="preserve">47U600x1200perforated side panel </v>
      </c>
      <c r="Z403" s="22">
        <f t="shared" si="175"/>
        <v>52</v>
      </c>
      <c r="AA403" s="55">
        <f t="shared" si="171"/>
        <v>0</v>
      </c>
      <c r="AC403" s="44" t="s">
        <v>48</v>
      </c>
      <c r="AD403" s="9"/>
      <c r="AE403" s="8">
        <v>52</v>
      </c>
    </row>
    <row r="404" spans="1:31" ht="15.75" x14ac:dyDescent="0.25">
      <c r="A404" t="s">
        <v>32</v>
      </c>
      <c r="B404" t="s">
        <v>22</v>
      </c>
      <c r="C404" s="1" t="s">
        <v>38</v>
      </c>
      <c r="D404" s="54"/>
      <c r="Z404" s="56">
        <f t="shared" si="175"/>
        <v>12</v>
      </c>
      <c r="AA404" s="55">
        <f t="shared" si="171"/>
        <v>2</v>
      </c>
      <c r="AC404" s="50" t="s">
        <v>14</v>
      </c>
      <c r="AD404" s="9"/>
      <c r="AE404" s="8">
        <v>12</v>
      </c>
    </row>
    <row r="405" spans="1:31" ht="15.75" x14ac:dyDescent="0.25">
      <c r="A405" t="s">
        <v>32</v>
      </c>
      <c r="B405" t="s">
        <v>23</v>
      </c>
      <c r="C405" s="18" t="s">
        <v>38</v>
      </c>
      <c r="AA405" s="55">
        <f t="shared" si="171"/>
        <v>0</v>
      </c>
      <c r="AC405" s="52" t="s">
        <v>23</v>
      </c>
      <c r="AD405" s="5"/>
      <c r="AE405" s="6"/>
    </row>
    <row r="406" spans="1:31" ht="15.75" x14ac:dyDescent="0.25">
      <c r="A406" t="s">
        <v>32</v>
      </c>
      <c r="B406" t="s">
        <v>23</v>
      </c>
      <c r="C406" s="18" t="s">
        <v>38</v>
      </c>
      <c r="W406" t="str">
        <f>A406&amp;B406</f>
        <v>47U800x1000</v>
      </c>
      <c r="Z406" s="56">
        <f>SUMPRODUCT(AA406:AA415,AE406:AE415)</f>
        <v>171</v>
      </c>
      <c r="AA406" s="55">
        <f t="shared" si="171"/>
        <v>1</v>
      </c>
      <c r="AC406" s="49" t="s">
        <v>4</v>
      </c>
      <c r="AD406" s="7"/>
      <c r="AE406" s="8">
        <v>147</v>
      </c>
    </row>
    <row r="407" spans="1:31" ht="15.75" x14ac:dyDescent="0.25">
      <c r="A407" t="s">
        <v>32</v>
      </c>
      <c r="B407" t="s">
        <v>23</v>
      </c>
      <c r="C407" s="1" t="s">
        <v>38</v>
      </c>
      <c r="X407" t="str">
        <f t="shared" ref="X407:X412" si="179">A407&amp;B407&amp;C407</f>
        <v>47U800x1000brak</v>
      </c>
      <c r="Z407" s="22">
        <f>AE407</f>
        <v>86</v>
      </c>
      <c r="AA407" s="55">
        <f t="shared" si="171"/>
        <v>0</v>
      </c>
      <c r="AC407" s="50" t="s">
        <v>5</v>
      </c>
      <c r="AD407" s="9"/>
      <c r="AE407" s="8">
        <v>86</v>
      </c>
    </row>
    <row r="408" spans="1:31" ht="15.75" x14ac:dyDescent="0.25">
      <c r="A408" t="s">
        <v>32</v>
      </c>
      <c r="B408" t="s">
        <v>23</v>
      </c>
      <c r="C408" s="24" t="str">
        <f>AC408</f>
        <v>Full metal door single leaf</v>
      </c>
      <c r="X408" t="str">
        <f t="shared" si="179"/>
        <v>47U800x1000Full metal door single leaf</v>
      </c>
      <c r="Z408" s="22">
        <f t="shared" ref="Z408:Z415" si="180">AE408</f>
        <v>43.5</v>
      </c>
      <c r="AA408" s="55">
        <f t="shared" si="171"/>
        <v>0</v>
      </c>
      <c r="AC408" s="50" t="s">
        <v>6</v>
      </c>
      <c r="AD408" s="9"/>
      <c r="AE408" s="8">
        <v>43.5</v>
      </c>
    </row>
    <row r="409" spans="1:31" ht="15.75" x14ac:dyDescent="0.25">
      <c r="A409" t="s">
        <v>32</v>
      </c>
      <c r="B409" t="s">
        <v>23</v>
      </c>
      <c r="C409" s="24" t="str">
        <f t="shared" ref="C409:C412" si="181">AC409</f>
        <v>Metal-glass door single leaf</v>
      </c>
      <c r="X409" t="str">
        <f t="shared" si="179"/>
        <v>47U800x1000Metal-glass door single leaf</v>
      </c>
      <c r="Z409" s="22">
        <f t="shared" si="180"/>
        <v>56</v>
      </c>
      <c r="AA409" s="55">
        <f t="shared" si="171"/>
        <v>0</v>
      </c>
      <c r="AC409" s="50" t="s">
        <v>7</v>
      </c>
      <c r="AD409" s="9"/>
      <c r="AE409" s="8">
        <v>56</v>
      </c>
    </row>
    <row r="410" spans="1:31" ht="15.75" x14ac:dyDescent="0.25">
      <c r="A410" t="s">
        <v>32</v>
      </c>
      <c r="B410" t="s">
        <v>23</v>
      </c>
      <c r="C410" s="24" t="str">
        <f t="shared" si="181"/>
        <v>Perforated door double leaf</v>
      </c>
      <c r="X410" t="str">
        <f t="shared" si="179"/>
        <v>47U800x1000Perforated door double leaf</v>
      </c>
      <c r="Z410" s="22">
        <f t="shared" si="180"/>
        <v>106</v>
      </c>
      <c r="AA410" s="55">
        <f t="shared" si="171"/>
        <v>0</v>
      </c>
      <c r="AC410" s="44" t="s">
        <v>9</v>
      </c>
      <c r="AD410" s="9"/>
      <c r="AE410" s="8">
        <v>106</v>
      </c>
    </row>
    <row r="411" spans="1:31" ht="15.75" x14ac:dyDescent="0.25">
      <c r="A411" t="s">
        <v>32</v>
      </c>
      <c r="B411" t="s">
        <v>23</v>
      </c>
      <c r="C411" s="24" t="str">
        <f t="shared" si="181"/>
        <v>Back full metal panel</v>
      </c>
      <c r="X411" t="str">
        <f t="shared" si="179"/>
        <v>47U800x1000Back full metal panel</v>
      </c>
      <c r="Z411" s="22">
        <f t="shared" si="180"/>
        <v>32</v>
      </c>
      <c r="AA411" s="55">
        <f t="shared" si="171"/>
        <v>0</v>
      </c>
      <c r="AC411" s="50" t="s">
        <v>10</v>
      </c>
      <c r="AD411" s="9"/>
      <c r="AE411" s="8">
        <v>32</v>
      </c>
    </row>
    <row r="412" spans="1:31" ht="15.75" x14ac:dyDescent="0.25">
      <c r="A412" t="s">
        <v>32</v>
      </c>
      <c r="B412" t="s">
        <v>23</v>
      </c>
      <c r="C412" s="24" t="str">
        <f t="shared" si="181"/>
        <v>Perforated back wall metal</v>
      </c>
      <c r="D412" s="54"/>
      <c r="X412" t="str">
        <f t="shared" si="179"/>
        <v>47U800x1000Perforated back wall metal</v>
      </c>
      <c r="Z412" s="22">
        <f t="shared" si="180"/>
        <v>48</v>
      </c>
      <c r="AA412" s="55">
        <f t="shared" si="171"/>
        <v>0</v>
      </c>
      <c r="AC412" s="44" t="s">
        <v>11</v>
      </c>
      <c r="AD412" s="9"/>
      <c r="AE412" s="8">
        <v>48</v>
      </c>
    </row>
    <row r="413" spans="1:31" ht="15.75" x14ac:dyDescent="0.25">
      <c r="A413" t="s">
        <v>32</v>
      </c>
      <c r="B413" t="s">
        <v>23</v>
      </c>
      <c r="C413" s="1" t="s">
        <v>38</v>
      </c>
      <c r="D413" s="54" t="str">
        <f t="shared" ref="D413:D414" si="182">AC413</f>
        <v xml:space="preserve">metal side panel full metal 1 pc </v>
      </c>
      <c r="Y413" t="str">
        <f t="shared" ref="Y413:Y414" si="183">A413&amp;B413&amp;D413</f>
        <v xml:space="preserve">47U800x1000metal side panel full metal 1 pc </v>
      </c>
      <c r="Z413" s="22">
        <f t="shared" si="180"/>
        <v>31.5</v>
      </c>
      <c r="AA413" s="55">
        <f t="shared" si="171"/>
        <v>0</v>
      </c>
      <c r="AC413" s="50" t="s">
        <v>12</v>
      </c>
      <c r="AD413" s="9"/>
      <c r="AE413" s="8">
        <v>31.5</v>
      </c>
    </row>
    <row r="414" spans="1:31" ht="15.75" x14ac:dyDescent="0.25">
      <c r="A414" t="s">
        <v>32</v>
      </c>
      <c r="B414" t="s">
        <v>23</v>
      </c>
      <c r="C414" s="1" t="s">
        <v>38</v>
      </c>
      <c r="D414" s="54" t="str">
        <f t="shared" si="182"/>
        <v xml:space="preserve">perforated side panel </v>
      </c>
      <c r="Y414" t="str">
        <f t="shared" si="183"/>
        <v xml:space="preserve">47U800x1000perforated side panel </v>
      </c>
      <c r="Z414" s="22">
        <f t="shared" si="180"/>
        <v>49.5</v>
      </c>
      <c r="AA414" s="55">
        <f t="shared" si="171"/>
        <v>0</v>
      </c>
      <c r="AC414" s="44" t="s">
        <v>48</v>
      </c>
      <c r="AD414" s="9"/>
      <c r="AE414" s="8">
        <v>49.5</v>
      </c>
    </row>
    <row r="415" spans="1:31" ht="15.75" x14ac:dyDescent="0.25">
      <c r="A415" t="s">
        <v>32</v>
      </c>
      <c r="B415" t="s">
        <v>23</v>
      </c>
      <c r="C415" s="1" t="s">
        <v>38</v>
      </c>
      <c r="D415" s="54"/>
      <c r="Z415" s="56">
        <f t="shared" si="180"/>
        <v>12</v>
      </c>
      <c r="AA415" s="55">
        <f t="shared" si="171"/>
        <v>2</v>
      </c>
      <c r="AC415" s="50" t="s">
        <v>14</v>
      </c>
      <c r="AD415" s="9"/>
      <c r="AE415" s="8">
        <v>12</v>
      </c>
    </row>
    <row r="416" spans="1:31" ht="15.75" x14ac:dyDescent="0.25">
      <c r="A416" t="s">
        <v>32</v>
      </c>
      <c r="B416" t="s">
        <v>24</v>
      </c>
      <c r="C416" s="18" t="s">
        <v>38</v>
      </c>
      <c r="AA416" s="55">
        <f t="shared" si="171"/>
        <v>0</v>
      </c>
      <c r="AC416" s="52" t="s">
        <v>24</v>
      </c>
      <c r="AD416" s="5"/>
      <c r="AE416" s="6"/>
    </row>
    <row r="417" spans="1:31" ht="15.75" x14ac:dyDescent="0.25">
      <c r="A417" t="s">
        <v>32</v>
      </c>
      <c r="B417" t="s">
        <v>24</v>
      </c>
      <c r="C417" s="18" t="s">
        <v>38</v>
      </c>
      <c r="W417" t="str">
        <f>A417&amp;B417</f>
        <v>47U800x1200</v>
      </c>
      <c r="Z417" s="56">
        <f>SUMPRODUCT(AA417:AA426,AE417:AE426)</f>
        <v>179</v>
      </c>
      <c r="AA417" s="55">
        <f t="shared" si="171"/>
        <v>1</v>
      </c>
      <c r="AC417" s="49" t="s">
        <v>4</v>
      </c>
      <c r="AD417" s="7"/>
      <c r="AE417" s="8">
        <v>155</v>
      </c>
    </row>
    <row r="418" spans="1:31" ht="15.75" x14ac:dyDescent="0.25">
      <c r="A418" t="s">
        <v>32</v>
      </c>
      <c r="B418" t="s">
        <v>24</v>
      </c>
      <c r="C418" s="1" t="s">
        <v>38</v>
      </c>
      <c r="X418" t="str">
        <f t="shared" ref="X418:X423" si="184">A418&amp;B418&amp;C418</f>
        <v>47U800x1200brak</v>
      </c>
      <c r="Z418" s="22">
        <f>AE418</f>
        <v>86</v>
      </c>
      <c r="AA418" s="55">
        <f t="shared" si="171"/>
        <v>0</v>
      </c>
      <c r="AC418" s="50" t="s">
        <v>5</v>
      </c>
      <c r="AD418" s="9"/>
      <c r="AE418" s="8">
        <v>86</v>
      </c>
    </row>
    <row r="419" spans="1:31" ht="15.75" x14ac:dyDescent="0.25">
      <c r="A419" t="s">
        <v>32</v>
      </c>
      <c r="B419" t="s">
        <v>24</v>
      </c>
      <c r="C419" s="24" t="str">
        <f>AC419</f>
        <v>Full metal door single leaf</v>
      </c>
      <c r="X419" t="str">
        <f t="shared" si="184"/>
        <v>47U800x1200Full metal door single leaf</v>
      </c>
      <c r="Z419" s="22">
        <f t="shared" ref="Z419:Z426" si="185">AE419</f>
        <v>43.5</v>
      </c>
      <c r="AA419" s="55">
        <f t="shared" si="171"/>
        <v>0</v>
      </c>
      <c r="AC419" s="50" t="s">
        <v>6</v>
      </c>
      <c r="AD419" s="9"/>
      <c r="AE419" s="8">
        <v>43.5</v>
      </c>
    </row>
    <row r="420" spans="1:31" ht="15.75" x14ac:dyDescent="0.25">
      <c r="A420" t="s">
        <v>32</v>
      </c>
      <c r="B420" t="s">
        <v>24</v>
      </c>
      <c r="C420" s="24" t="str">
        <f t="shared" ref="C420:C423" si="186">AC420</f>
        <v>Metal-glass door single leaf</v>
      </c>
      <c r="X420" t="str">
        <f t="shared" si="184"/>
        <v>47U800x1200Metal-glass door single leaf</v>
      </c>
      <c r="Z420" s="22">
        <f t="shared" si="185"/>
        <v>56</v>
      </c>
      <c r="AA420" s="55">
        <f t="shared" si="171"/>
        <v>0</v>
      </c>
      <c r="AC420" s="50" t="s">
        <v>7</v>
      </c>
      <c r="AD420" s="9"/>
      <c r="AE420" s="8">
        <v>56</v>
      </c>
    </row>
    <row r="421" spans="1:31" ht="15.75" x14ac:dyDescent="0.25">
      <c r="A421" t="s">
        <v>32</v>
      </c>
      <c r="B421" t="s">
        <v>24</v>
      </c>
      <c r="C421" s="24" t="str">
        <f t="shared" si="186"/>
        <v>Perforated door double leaf</v>
      </c>
      <c r="X421" t="str">
        <f t="shared" si="184"/>
        <v>47U800x1200Perforated door double leaf</v>
      </c>
      <c r="Z421" s="22">
        <f t="shared" si="185"/>
        <v>106</v>
      </c>
      <c r="AA421" s="55">
        <f t="shared" si="171"/>
        <v>0</v>
      </c>
      <c r="AC421" s="44" t="s">
        <v>9</v>
      </c>
      <c r="AD421" s="9"/>
      <c r="AE421" s="8">
        <v>106</v>
      </c>
    </row>
    <row r="422" spans="1:31" ht="15.75" x14ac:dyDescent="0.25">
      <c r="A422" t="s">
        <v>32</v>
      </c>
      <c r="B422" t="s">
        <v>24</v>
      </c>
      <c r="C422" s="24" t="str">
        <f t="shared" si="186"/>
        <v>Back full metal panel</v>
      </c>
      <c r="X422" t="str">
        <f t="shared" si="184"/>
        <v>47U800x1200Back full metal panel</v>
      </c>
      <c r="Z422" s="22">
        <f t="shared" si="185"/>
        <v>32</v>
      </c>
      <c r="AA422" s="55">
        <f t="shared" si="171"/>
        <v>0</v>
      </c>
      <c r="AC422" s="50" t="s">
        <v>10</v>
      </c>
      <c r="AD422" s="9"/>
      <c r="AE422" s="8">
        <v>32</v>
      </c>
    </row>
    <row r="423" spans="1:31" ht="15.75" x14ac:dyDescent="0.25">
      <c r="A423" t="s">
        <v>32</v>
      </c>
      <c r="B423" t="s">
        <v>24</v>
      </c>
      <c r="C423" s="24" t="str">
        <f t="shared" si="186"/>
        <v>Perforated back wall metal</v>
      </c>
      <c r="D423" s="54"/>
      <c r="X423" t="str">
        <f t="shared" si="184"/>
        <v>47U800x1200Perforated back wall metal</v>
      </c>
      <c r="Z423" s="22">
        <f t="shared" si="185"/>
        <v>48</v>
      </c>
      <c r="AA423" s="55">
        <f t="shared" si="171"/>
        <v>0</v>
      </c>
      <c r="AC423" s="44" t="s">
        <v>11</v>
      </c>
      <c r="AD423" s="9"/>
      <c r="AE423" s="8">
        <v>48</v>
      </c>
    </row>
    <row r="424" spans="1:31" ht="15.75" x14ac:dyDescent="0.25">
      <c r="A424" t="s">
        <v>32</v>
      </c>
      <c r="B424" t="s">
        <v>24</v>
      </c>
      <c r="C424" s="1" t="s">
        <v>38</v>
      </c>
      <c r="D424" s="54" t="str">
        <f t="shared" ref="D424:D425" si="187">AC424</f>
        <v xml:space="preserve">metal side panel full metal 1 pc </v>
      </c>
      <c r="Y424" t="str">
        <f t="shared" ref="Y424:Y425" si="188">A424&amp;B424&amp;D424</f>
        <v xml:space="preserve">47U800x1200metal side panel full metal 1 pc </v>
      </c>
      <c r="Z424" s="22">
        <f t="shared" si="185"/>
        <v>33</v>
      </c>
      <c r="AA424" s="55">
        <f t="shared" si="171"/>
        <v>0</v>
      </c>
      <c r="AC424" s="50" t="s">
        <v>12</v>
      </c>
      <c r="AD424" s="9"/>
      <c r="AE424" s="8">
        <v>33</v>
      </c>
    </row>
    <row r="425" spans="1:31" ht="15.75" x14ac:dyDescent="0.25">
      <c r="A425" t="s">
        <v>32</v>
      </c>
      <c r="B425" t="s">
        <v>24</v>
      </c>
      <c r="C425" s="1" t="s">
        <v>38</v>
      </c>
      <c r="D425" s="54" t="str">
        <f t="shared" si="187"/>
        <v xml:space="preserve">perforated side panel </v>
      </c>
      <c r="Y425" t="str">
        <f t="shared" si="188"/>
        <v xml:space="preserve">47U800x1200perforated side panel </v>
      </c>
      <c r="Z425" s="22">
        <f t="shared" si="185"/>
        <v>52</v>
      </c>
      <c r="AA425" s="55">
        <f t="shared" si="171"/>
        <v>0</v>
      </c>
      <c r="AC425" s="44" t="s">
        <v>48</v>
      </c>
      <c r="AD425" s="9"/>
      <c r="AE425" s="8">
        <v>52</v>
      </c>
    </row>
    <row r="426" spans="1:31" ht="15.75" x14ac:dyDescent="0.25">
      <c r="A426" t="s">
        <v>32</v>
      </c>
      <c r="B426" t="s">
        <v>24</v>
      </c>
      <c r="C426" s="1" t="s">
        <v>38</v>
      </c>
      <c r="D426" s="54"/>
      <c r="Z426" s="56">
        <f t="shared" si="185"/>
        <v>12</v>
      </c>
      <c r="AA426" s="55">
        <f t="shared" si="171"/>
        <v>2</v>
      </c>
      <c r="AC426" s="51" t="s">
        <v>14</v>
      </c>
      <c r="AD426" s="12"/>
      <c r="AE426" s="53">
        <v>12</v>
      </c>
    </row>
  </sheetData>
  <protectedRanges>
    <protectedRange sqref="AD1:AD426" name="Rozstęp1_1"/>
  </protectedRanges>
  <autoFilter ref="AC1:AE426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2" r:id="rId4" name="CommandButton1">
          <controlPr defaultSize="0" autoLine="0" r:id="rId5">
            <anchor moveWithCells="1">
              <from>
                <xdr:col>32</xdr:col>
                <xdr:colOff>571500</xdr:colOff>
                <xdr:row>1</xdr:row>
                <xdr:rowOff>200025</xdr:rowOff>
              </from>
              <to>
                <xdr:col>37</xdr:col>
                <xdr:colOff>85725</xdr:colOff>
                <xdr:row>3</xdr:row>
                <xdr:rowOff>123825</xdr:rowOff>
              </to>
            </anchor>
          </controlPr>
        </control>
      </mc:Choice>
      <mc:Fallback>
        <control shapeId="1102" r:id="rId4" name="CommandButton1"/>
      </mc:Fallback>
    </mc:AlternateContent>
    <mc:AlternateContent xmlns:mc="http://schemas.openxmlformats.org/markup-compatibility/2006">
      <mc:Choice Requires="x14">
        <control shapeId="1100" r:id="rId6" name="ComboBox18">
          <controlPr defaultSize="0" autoLine="0" r:id="rId7">
            <anchor moveWithCells="1">
              <from>
                <xdr:col>33</xdr:col>
                <xdr:colOff>9525</xdr:colOff>
                <xdr:row>20</xdr:row>
                <xdr:rowOff>38100</xdr:rowOff>
              </from>
              <to>
                <xdr:col>38</xdr:col>
                <xdr:colOff>428625</xdr:colOff>
                <xdr:row>21</xdr:row>
                <xdr:rowOff>152400</xdr:rowOff>
              </to>
            </anchor>
          </controlPr>
        </control>
      </mc:Choice>
      <mc:Fallback>
        <control shapeId="1100" r:id="rId6" name="ComboBox18"/>
      </mc:Fallback>
    </mc:AlternateContent>
    <mc:AlternateContent xmlns:mc="http://schemas.openxmlformats.org/markup-compatibility/2006">
      <mc:Choice Requires="x14">
        <control shapeId="1099" r:id="rId8" name="ComboBox14">
          <controlPr defaultSize="0" autoLine="0" r:id="rId9">
            <anchor moveWithCells="1">
              <from>
                <xdr:col>48</xdr:col>
                <xdr:colOff>581025</xdr:colOff>
                <xdr:row>16</xdr:row>
                <xdr:rowOff>133350</xdr:rowOff>
              </from>
              <to>
                <xdr:col>54</xdr:col>
                <xdr:colOff>400050</xdr:colOff>
                <xdr:row>18</xdr:row>
                <xdr:rowOff>152400</xdr:rowOff>
              </to>
            </anchor>
          </controlPr>
        </control>
      </mc:Choice>
      <mc:Fallback>
        <control shapeId="1099" r:id="rId8" name="ComboBox14"/>
      </mc:Fallback>
    </mc:AlternateContent>
    <mc:AlternateContent xmlns:mc="http://schemas.openxmlformats.org/markup-compatibility/2006">
      <mc:Choice Requires="x14">
        <control shapeId="1098" r:id="rId10" name="ComboBox17">
          <controlPr defaultSize="0" autoLine="0" r:id="rId11">
            <anchor moveWithCells="1">
              <from>
                <xdr:col>38</xdr:col>
                <xdr:colOff>600075</xdr:colOff>
                <xdr:row>17</xdr:row>
                <xdr:rowOff>0</xdr:rowOff>
              </from>
              <to>
                <xdr:col>44</xdr:col>
                <xdr:colOff>123825</xdr:colOff>
                <xdr:row>18</xdr:row>
                <xdr:rowOff>114300</xdr:rowOff>
              </to>
            </anchor>
          </controlPr>
        </control>
      </mc:Choice>
      <mc:Fallback>
        <control shapeId="1098" r:id="rId10" name="ComboBox17"/>
      </mc:Fallback>
    </mc:AlternateContent>
    <mc:AlternateContent xmlns:mc="http://schemas.openxmlformats.org/markup-compatibility/2006">
      <mc:Choice Requires="x14">
        <control shapeId="1097" r:id="rId12" name="ComboBox16">
          <controlPr defaultSize="0" autoLine="0" r:id="rId7">
            <anchor moveWithCells="1">
              <from>
                <xdr:col>33</xdr:col>
                <xdr:colOff>9525</xdr:colOff>
                <xdr:row>17</xdr:row>
                <xdr:rowOff>47625</xdr:rowOff>
              </from>
              <to>
                <xdr:col>38</xdr:col>
                <xdr:colOff>428625</xdr:colOff>
                <xdr:row>18</xdr:row>
                <xdr:rowOff>161925</xdr:rowOff>
              </to>
            </anchor>
          </controlPr>
        </control>
      </mc:Choice>
      <mc:Fallback>
        <control shapeId="1097" r:id="rId12" name="ComboBox16"/>
      </mc:Fallback>
    </mc:AlternateContent>
    <mc:AlternateContent xmlns:mc="http://schemas.openxmlformats.org/markup-compatibility/2006">
      <mc:Choice Requires="x14">
        <control shapeId="1096" r:id="rId13" name="ComboBox15">
          <controlPr defaultSize="0" autoLine="0" r:id="rId14">
            <anchor moveWithCells="1">
              <from>
                <xdr:col>39</xdr:col>
                <xdr:colOff>9525</xdr:colOff>
                <xdr:row>13</xdr:row>
                <xdr:rowOff>19050</xdr:rowOff>
              </from>
              <to>
                <xdr:col>44</xdr:col>
                <xdr:colOff>142875</xdr:colOff>
                <xdr:row>14</xdr:row>
                <xdr:rowOff>142875</xdr:rowOff>
              </to>
            </anchor>
          </controlPr>
        </control>
      </mc:Choice>
      <mc:Fallback>
        <control shapeId="1096" r:id="rId13" name="ComboBox15"/>
      </mc:Fallback>
    </mc:AlternateContent>
    <mc:AlternateContent xmlns:mc="http://schemas.openxmlformats.org/markup-compatibility/2006">
      <mc:Choice Requires="x14">
        <control shapeId="1095" r:id="rId15" name="ComboBox13">
          <controlPr defaultSize="0" autoLine="0" r:id="rId11">
            <anchor moveWithCells="1">
              <from>
                <xdr:col>33</xdr:col>
                <xdr:colOff>0</xdr:colOff>
                <xdr:row>13</xdr:row>
                <xdr:rowOff>57150</xdr:rowOff>
              </from>
              <to>
                <xdr:col>38</xdr:col>
                <xdr:colOff>428625</xdr:colOff>
                <xdr:row>14</xdr:row>
                <xdr:rowOff>171450</xdr:rowOff>
              </to>
            </anchor>
          </controlPr>
        </control>
      </mc:Choice>
      <mc:Fallback>
        <control shapeId="1095" r:id="rId15" name="ComboBox13"/>
      </mc:Fallback>
    </mc:AlternateContent>
    <mc:AlternateContent xmlns:mc="http://schemas.openxmlformats.org/markup-compatibility/2006">
      <mc:Choice Requires="x14">
        <control shapeId="1094" r:id="rId16" name="ComboBox12">
          <controlPr defaultSize="0" autoLine="0" r:id="rId14">
            <anchor moveWithCells="1">
              <from>
                <xdr:col>32</xdr:col>
                <xdr:colOff>581025</xdr:colOff>
                <xdr:row>9</xdr:row>
                <xdr:rowOff>0</xdr:rowOff>
              </from>
              <to>
                <xdr:col>38</xdr:col>
                <xdr:colOff>400050</xdr:colOff>
                <xdr:row>10</xdr:row>
                <xdr:rowOff>123825</xdr:rowOff>
              </to>
            </anchor>
          </controlPr>
        </control>
      </mc:Choice>
      <mc:Fallback>
        <control shapeId="1094" r:id="rId16" name="ComboBox12"/>
      </mc:Fallback>
    </mc:AlternateContent>
    <mc:AlternateContent xmlns:mc="http://schemas.openxmlformats.org/markup-compatibility/2006">
      <mc:Choice Requires="x14">
        <control shapeId="1093" r:id="rId17" name="ComboBox11">
          <controlPr defaultSize="0" autoLine="0" r:id="rId14">
            <anchor moveWithCells="1">
              <from>
                <xdr:col>32</xdr:col>
                <xdr:colOff>571500</xdr:colOff>
                <xdr:row>6</xdr:row>
                <xdr:rowOff>9525</xdr:rowOff>
              </from>
              <to>
                <xdr:col>38</xdr:col>
                <xdr:colOff>390525</xdr:colOff>
                <xdr:row>7</xdr:row>
                <xdr:rowOff>133350</xdr:rowOff>
              </to>
            </anchor>
          </controlPr>
        </control>
      </mc:Choice>
      <mc:Fallback>
        <control shapeId="1093" r:id="rId17" name="ComboBox1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K8"/>
  <sheetViews>
    <sheetView workbookViewId="0">
      <selection activeCell="J2" sqref="J2:J4"/>
    </sheetView>
  </sheetViews>
  <sheetFormatPr defaultRowHeight="15" x14ac:dyDescent="0.25"/>
  <cols>
    <col min="1" max="1" width="26.28515625" bestFit="1" customWidth="1"/>
    <col min="4" max="4" width="35.85546875" customWidth="1"/>
    <col min="5" max="5" width="12.140625" customWidth="1"/>
    <col min="7" max="7" width="31" customWidth="1"/>
    <col min="10" max="10" width="16.28515625" customWidth="1"/>
  </cols>
  <sheetData>
    <row r="1" spans="1:11" x14ac:dyDescent="0.25">
      <c r="A1" s="14" t="s">
        <v>35</v>
      </c>
      <c r="B1" t="s">
        <v>36</v>
      </c>
      <c r="D1" s="14" t="s">
        <v>37</v>
      </c>
      <c r="E1" t="s">
        <v>36</v>
      </c>
      <c r="G1" s="14" t="s">
        <v>49</v>
      </c>
      <c r="H1" t="s">
        <v>36</v>
      </c>
      <c r="J1" s="14" t="s">
        <v>51</v>
      </c>
      <c r="K1" t="s">
        <v>36</v>
      </c>
    </row>
    <row r="2" spans="1:11" x14ac:dyDescent="0.25">
      <c r="A2" t="s">
        <v>5</v>
      </c>
      <c r="B2">
        <v>3</v>
      </c>
      <c r="D2" t="s">
        <v>5</v>
      </c>
      <c r="E2">
        <v>3</v>
      </c>
      <c r="G2" t="s">
        <v>12</v>
      </c>
      <c r="H2">
        <v>1</v>
      </c>
      <c r="J2">
        <v>7035</v>
      </c>
      <c r="K2">
        <v>1</v>
      </c>
    </row>
    <row r="3" spans="1:11" x14ac:dyDescent="0.25">
      <c r="A3" t="s">
        <v>6</v>
      </c>
      <c r="B3">
        <v>7</v>
      </c>
      <c r="D3" t="s">
        <v>6</v>
      </c>
      <c r="E3">
        <v>7</v>
      </c>
      <c r="G3" t="s">
        <v>13</v>
      </c>
      <c r="H3">
        <v>9</v>
      </c>
      <c r="J3">
        <v>7021</v>
      </c>
      <c r="K3">
        <v>2</v>
      </c>
    </row>
    <row r="4" spans="1:11" x14ac:dyDescent="0.25">
      <c r="A4" t="s">
        <v>7</v>
      </c>
      <c r="B4">
        <v>2</v>
      </c>
      <c r="D4" t="s">
        <v>7</v>
      </c>
      <c r="E4">
        <v>2</v>
      </c>
      <c r="G4" t="s">
        <v>20</v>
      </c>
      <c r="H4">
        <v>1</v>
      </c>
      <c r="J4">
        <v>9005</v>
      </c>
      <c r="K4">
        <v>3</v>
      </c>
    </row>
    <row r="5" spans="1:11" x14ac:dyDescent="0.25">
      <c r="A5" t="s">
        <v>8</v>
      </c>
      <c r="B5">
        <v>1</v>
      </c>
      <c r="D5" t="s">
        <v>8</v>
      </c>
      <c r="E5">
        <v>1</v>
      </c>
      <c r="G5" t="s">
        <v>21</v>
      </c>
      <c r="H5">
        <v>9</v>
      </c>
    </row>
    <row r="6" spans="1:11" x14ac:dyDescent="0.25">
      <c r="A6" t="s">
        <v>9</v>
      </c>
      <c r="B6">
        <v>4</v>
      </c>
      <c r="D6" t="s">
        <v>9</v>
      </c>
      <c r="E6">
        <v>4</v>
      </c>
    </row>
    <row r="7" spans="1:11" x14ac:dyDescent="0.25">
      <c r="A7" t="s">
        <v>10</v>
      </c>
      <c r="B7">
        <v>6</v>
      </c>
      <c r="D7" t="s">
        <v>10</v>
      </c>
      <c r="E7">
        <v>6</v>
      </c>
    </row>
    <row r="8" spans="1:11" x14ac:dyDescent="0.25">
      <c r="A8" t="s">
        <v>11</v>
      </c>
      <c r="B8">
        <v>5</v>
      </c>
      <c r="D8" t="s">
        <v>11</v>
      </c>
      <c r="E8">
        <v>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>
      <selection activeCell="A34" sqref="A34:B4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Monia</dc:creator>
  <cp:lastModifiedBy>Łukasz Wrzeszcz</cp:lastModifiedBy>
  <dcterms:created xsi:type="dcterms:W3CDTF">2015-02-16T17:31:18Z</dcterms:created>
  <dcterms:modified xsi:type="dcterms:W3CDTF">2016-04-06T13:06:36Z</dcterms:modified>
</cp:coreProperties>
</file>